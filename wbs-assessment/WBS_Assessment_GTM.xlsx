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  <sheet name="Timeline" sheetId="2" state="visible" r:id="rId4"/>
    <sheet name="Riepilogo" sheetId="3" state="visible" r:id="rId5"/>
    <sheet name="Parametri" sheetId="4" state="visible" r:id="rId6"/>
    <sheet name="Ruoli" sheetId="5" state="visible" r:id="rId7"/>
  </sheets>
  <definedNames>
    <definedName function="false" hidden="false" localSheetId="0" name="_xlnm.Print_Titles" vbProcedure="false">WBS!$5:$5</definedName>
    <definedName function="false" hidden="true" localSheetId="0" name="_xlnm._FilterDatabase" vbProcedure="false">WBS!$A$5:$Z$17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Tariffa non ancora fornita. Finché la cella resta vuota, la colonna 'Costo totale' della WBS vale 0.</t>
        </r>
      </text>
    </comment>
  </commentList>
</comments>
</file>

<file path=xl/sharedStrings.xml><?xml version="1.0" encoding="utf-8"?>
<sst xmlns="http://schemas.openxmlformats.org/spreadsheetml/2006/main" count="335" uniqueCount="252">
  <si>
    <t xml:space="preserve">WORK BREAKDOWN STRUCTURE — Progetto di Assessment Go-to-Market</t>
  </si>
  <si>
    <t xml:space="preserve">LEGENDA — Celle GIALLE con testo blu: da compilare a mano (pianificazione settimane, incontri, giornate). Celle GRIGIE: calcolate da formula, non modificare. Tariffe e ore/giornata si impostano nel foglio «Parametri»; i nomi del team nel foglio «Ruoli».</t>
  </si>
  <si>
    <t xml:space="preserve">Le colonne «gg Front office / Back office / Viaggio» esprimono GIORNATE-UOMO aggregate, non giorni di calendario: 2 consulenti per mezza giornata dal cliente = 1 giornata front. La composizione della squadra si descrive nella colonna «Delivery». Le ore di viaggio sono incluse nel monte ore.</t>
  </si>
  <si>
    <t xml:space="preserve">#</t>
  </si>
  <si>
    <t xml:space="preserve">Cod. WBS</t>
  </si>
  <si>
    <t xml:space="preserve">Fase</t>
  </si>
  <si>
    <t xml:space="preserve">Tipo</t>
  </si>
  <si>
    <t xml:space="preserve">Modalità</t>
  </si>
  <si>
    <t xml:space="preserve">Blocco</t>
  </si>
  <si>
    <t xml:space="preserve">Sett.
inizio</t>
  </si>
  <si>
    <t xml:space="preserve">Durata
(sett.)</t>
  </si>
  <si>
    <t xml:space="preserve">Sett.
fine</t>
  </si>
  <si>
    <t xml:space="preserve">Descrizione</t>
  </si>
  <si>
    <t xml:space="preserve">Attività preparatorie</t>
  </si>
  <si>
    <t xml:space="preserve">Attività di follow-up</t>
  </si>
  <si>
    <t xml:space="preserve">Input dal cliente</t>
  </si>
  <si>
    <t xml:space="preserve">Output / Deliverable</t>
  </si>
  <si>
    <t xml:space="preserve">Owner</t>
  </si>
  <si>
    <t xml:space="preserve">Partecipanti</t>
  </si>
  <si>
    <t xml:space="preserve">N.
incontri</t>
  </si>
  <si>
    <t xml:space="preserve">Durata
incontro (h)</t>
  </si>
  <si>
    <t xml:space="preserve">gg Front
office</t>
  </si>
  <si>
    <t xml:space="preserve">gg Back
office</t>
  </si>
  <si>
    <t xml:space="preserve">gg
Viaggio</t>
  </si>
  <si>
    <t xml:space="preserve">Delivery (composizione team)</t>
  </si>
  <si>
    <t xml:space="preserve">Tot.
giornate</t>
  </si>
  <si>
    <t xml:space="preserve">Ore
totali</t>
  </si>
  <si>
    <t xml:space="preserve">Costo totale</t>
  </si>
  <si>
    <t xml:space="preserve">Note</t>
  </si>
  <si>
    <t xml:space="preserve">1.1</t>
  </si>
  <si>
    <t xml:space="preserve">Kick off e raccolta dati</t>
  </si>
  <si>
    <t xml:space="preserve">Cliente</t>
  </si>
  <si>
    <t xml:space="preserve">Remoto</t>
  </si>
  <si>
    <t xml:space="preserve">1 · Avvio</t>
  </si>
  <si>
    <t xml:space="preserve">Incontro di avvio in remoto con i team di progetto di entrambe le parti. Si condividono obiettivi e perimetro dell'assessment, si presenta il team e si calendarizzano gli incontri successivi. Nella seconda parte si illustra la struttura dei dati richiesta al cliente, si chiariscono dubbi e domande e si concorda la data di consegna degli export, fissata entro una settimana dal kick off. Il lead time della fase coincide con il tempo necessario al cliente per predisporre e trasmettere gli export.</t>
  </si>
  <si>
    <t xml:space="preserve">Invio dell'invito e fissaggio dell'incontro a cura del Commerciale.</t>
  </si>
  <si>
    <t xml:space="preserve">Invio, a cura del Project Manager, del documento presentato e del tracciato dei dati richiesti.</t>
  </si>
  <si>
    <t xml:space="preserve">Export dei dati trasmessi via email entro 5 giorni lavorativi dal kick off.</t>
  </si>
  <si>
    <t xml:space="preserve">Obiettivi e perimetro condivisi · calendario degli incontri · tracciato dati concordato.</t>
  </si>
  <si>
    <t xml:space="preserve">Commerciale (convocazione) → Project Manager (follow-up)</t>
  </si>
  <si>
    <t xml:space="preserve">Team di progetto completo, entrambe le parti</t>
  </si>
  <si>
    <t xml:space="preserve">Vincolo: la consegna degli export non può superare 1 settimana dal kick off.</t>
  </si>
  <si>
    <t xml:space="preserve">1.2</t>
  </si>
  <si>
    <t xml:space="preserve">Analisi dati e sintesi</t>
  </si>
  <si>
    <t xml:space="preserve">Interna</t>
  </si>
  <si>
    <t xml:space="preserve">Analisi degli export ricevuti per ricostruire l'evidenza sulla base clienti attuale, su due piani: lettura logico-funzionale del dato e verifica di data quality. L'esito confluisce in una restituzione interna al team, in cui si presentano le evidenze emerse, l'issue tree e le prime ipotesi da validare nel corso del progetto.</t>
  </si>
  <si>
    <t xml:space="preserve">Verifica di completezza e leggibilità degli export ricevuti.</t>
  </si>
  <si>
    <t xml:space="preserve">Formalizzazione al cliente via email di dubbi, lacune e richieste di integrazione dati.</t>
  </si>
  <si>
    <t xml:space="preserve">Export dati completi e leggibili.</t>
  </si>
  <si>
    <t xml:space="preserve">Evidenze sulla base clienti · esiti di data quality · issue tree · ipotesi da validare · lista domande al cliente.</t>
  </si>
  <si>
    <t xml:space="preserve">Project Manager</t>
  </si>
  <si>
    <t xml:space="preserve">1 consulente RevOps sull'analisi; restituzione di 1 ora all'intero team</t>
  </si>
  <si>
    <t xml:space="preserve">1 risorsa in back office; restituzione al team di 1 ora con tutto il gruppo</t>
  </si>
  <si>
    <t xml:space="preserve">L'analisi è svolta da una sola persona: la restituzione è l'unico momento collegiale.</t>
  </si>
  <si>
    <t xml:space="preserve">1.3</t>
  </si>
  <si>
    <t xml:space="preserve">Revenue model</t>
  </si>
  <si>
    <t xml:space="preserve">In presenza</t>
  </si>
  <si>
    <t xml:space="preserve">2 · Workshop in parallelo</t>
  </si>
  <si>
    <t xml:space="preserve">Workshop in presenza per la mappatura del modello di ricavo del cliente, articolato in due sessioni distinte — una dedicata al canale B2B e una al B2C — con compilazione congiunta del framework revenue model.</t>
  </si>
  <si>
    <t xml:space="preserve">Predisposizione dei materiali di workshop e condivisione dell'agenda con il cliente.</t>
  </si>
  <si>
    <t xml:space="preserve">Compilazione del file di delivery · restituzione formalizzata al cliente · registrazione delle evidenze emerse.</t>
  </si>
  <si>
    <t xml:space="preserve">Disponibilità dei referenti di canale e accesso ai dati di ricavo.</t>
  </si>
  <si>
    <t xml:space="preserve">Revenue model mappato e validato per canale B2B e B2C.</t>
  </si>
  <si>
    <t xml:space="preserve">Facilitatore senior + 2 consulenti RevOps junior</t>
  </si>
  <si>
    <t xml:space="preserve">3 persone in presenza (1 facilitatore senior + 2 consulenti junior)</t>
  </si>
  <si>
    <t xml:space="preserve">Durata delle due sessioni da definire.</t>
  </si>
  <si>
    <t xml:space="preserve">1.4</t>
  </si>
  <si>
    <t xml:space="preserve">ICP model e customer journey</t>
  </si>
  <si>
    <t xml:space="preserve">Due incontri in remoto — uno sul canale B2B e uno sul B2C — per la definizione del profilo di cliente ideale e della relativa customer journey. La mappatura si sviluppa sul bow tie: per ciascuna fase si individua il percorso desiderato e le frizioni oggi presenti.</t>
  </si>
  <si>
    <t xml:space="preserve">Predisposizione della struttura bow tie e condivisione dell'agenda.</t>
  </si>
  <si>
    <t xml:space="preserve">Disponibilità dei referenti marketing e sales.</t>
  </si>
  <si>
    <t xml:space="preserve">Ideal Customer Profile definito · customer journey mappata lungo il bow tie con le frizioni per fase.</t>
  </si>
  <si>
    <t xml:space="preserve">3 persone in remoto (1 facilitatore senior + 2 consulenti junior)</t>
  </si>
  <si>
    <t xml:space="preserve">1.5</t>
  </si>
  <si>
    <t xml:space="preserve">Process design</t>
  </si>
  <si>
    <t xml:space="preserve">Workshop in presenza per la mappatura dei processi attualmente in essere su marketing, sales e delivery. Si analizza cosa funziona e cosa non funziona nei flussi correnti e si individuano i gap rispetto allo stato desiderato definito nella customer journey.</t>
  </si>
  <si>
    <t xml:space="preserve">Raccolta della documentazione di processo esistente e condivisione dell'agenda.</t>
  </si>
  <si>
    <t xml:space="preserve">Documentazione di processo e disponibilità dei process owner.</t>
  </si>
  <si>
    <t xml:space="preserve">Mappatura del flusso di processo lungo l'intera catena del valore go-to-market · gap rispetto allo stato desiderato.</t>
  </si>
  <si>
    <t xml:space="preserve">Numero e durata delle sessioni da definire.</t>
  </si>
  <si>
    <t xml:space="preserve">1.6</t>
  </si>
  <si>
    <t xml:space="preserve">Tech stack</t>
  </si>
  <si>
    <t xml:space="preserve">Da definire</t>
  </si>
  <si>
    <t xml:space="preserve">Ricognizione degli strumenti oggi in uso che intercettano la strategia go-to-market, con verifica di come sono strutturati database e flussi di dati. L'obiettivo è fotografare lo stack as-is e disegnare lo stack to-be in ottica di razionalizzazione.</t>
  </si>
  <si>
    <t xml:space="preserve">Richiesta preventiva dell'inventario applicativo e delle licenze in essere.</t>
  </si>
  <si>
    <t xml:space="preserve">Inventario degli strumenti in uso e accesso ai referenti IT.</t>
  </si>
  <si>
    <t xml:space="preserve">Mappa degli strumenti as-is e to-be · indicazioni di razionalizzazione dello stack e del database.</t>
  </si>
  <si>
    <t xml:space="preserve">3 persone (1 facilitatore senior + 2 consulenti junior)</t>
  </si>
  <si>
    <t xml:space="preserve">Modalità (presenza / remoto), numero e durata delle sessioni da definire.</t>
  </si>
  <si>
    <t xml:space="preserve">1.7</t>
  </si>
  <si>
    <t xml:space="preserve">Data model</t>
  </si>
  <si>
    <t xml:space="preserve">Incontro dedicato alla proposta del set di KPI necessari a misurare il sistema, costruito utilizzando il bow tie come backbone. Si definiscono KPI di primo e di secondo livello per monitorare l'avanzamento della generazione di valore.</t>
  </si>
  <si>
    <t xml:space="preserve">Predisposizione dell'albero dei KPI di primo e secondo livello sul bow tie.</t>
  </si>
  <si>
    <t xml:space="preserve">Disponibilità dei dati necessari ad alimentare i KPI proposti.</t>
  </si>
  <si>
    <t xml:space="preserve">Set di KPI di primo e secondo livello ancorati al bow tie · logica di misurazione della generazione di valore.</t>
  </si>
  <si>
    <t xml:space="preserve">Modalità (presenza / remoto) e durata da definire.</t>
  </si>
  <si>
    <t xml:space="preserve">1.8</t>
  </si>
  <si>
    <t xml:space="preserve">Interviste qualitative</t>
  </si>
  <si>
    <t xml:space="preserve">3 · Approfondimento</t>
  </si>
  <si>
    <t xml:space="preserve">Ciclo di interviste individuali in remoto, condotte da un solo consulente a valle del process design. Sono interviste qualitative volte a raccogliere il punto di vista degli utenti interni sui temi emersi nei workshop e a far emergere frizioni operative non visibili nella mappatura di processo.</t>
  </si>
  <si>
    <t xml:space="preserve">Selezione degli intervistati con il cliente e predisposizione della guida di intervista.</t>
  </si>
  <si>
    <t xml:space="preserve">Sintesi trasversale delle interviste e integrazione delle frizioni nella mappatura di processo.</t>
  </si>
  <si>
    <t xml:space="preserve">Individuazione e disponibilità degli utenti interni da intervistare.</t>
  </si>
  <si>
    <t xml:space="preserve">Frizioni operative rilevate · feedback qualitativi sui temi aperti nel process design.</t>
  </si>
  <si>
    <t xml:space="preserve">1 consulente RevOps; referenti operativi lato cliente</t>
  </si>
  <si>
    <t xml:space="preserve">1 persona in remoto</t>
  </si>
  <si>
    <t xml:space="preserve">Fase separata perché si svolge a valle dei workshop, con un solo consulente impegnato.</t>
  </si>
  <si>
    <t xml:space="preserve">1.9</t>
  </si>
  <si>
    <t xml:space="preserve">Sintesi evidenze e business case</t>
  </si>
  <si>
    <t xml:space="preserve">4 · Sintesi e validazione</t>
  </si>
  <si>
    <t xml:space="preserve">Fase interna di ristrutturazione di tutte le evidenze raccolte e di costruzione del piano di lavoro, con elaborazione dei business case a supporto delle iniziative individuate.</t>
  </si>
  <si>
    <t xml:space="preserve">Consolidamento dei file di delivery di tutte le fasi precedenti.</t>
  </si>
  <si>
    <t xml:space="preserve">Predisposizione dei materiali per la review con il cliente.</t>
  </si>
  <si>
    <t xml:space="preserve">Piano di lavoro strutturato · business case per iniziativa.</t>
  </si>
  <si>
    <t xml:space="preserve">Team di progetto</t>
  </si>
  <si>
    <t xml:space="preserve">1.10</t>
  </si>
  <si>
    <t xml:space="preserve">Review con il cliente</t>
  </si>
  <si>
    <t xml:space="preserve">Incontro di validazione con il team di lavoro lato cliente, centrato sui business case costruiti: si verifica l'allineamento su priorità e numeri e si stabilisce se procedere o iterare su specifici ambiti.</t>
  </si>
  <si>
    <t xml:space="preserve">Invio anticipato dei business case per lettura preventiva.</t>
  </si>
  <si>
    <t xml:space="preserve">Recepimento delle iterazioni richieste e aggiornamento del piano di lavoro.</t>
  </si>
  <si>
    <t xml:space="preserve">Presenza dei decisori lato cliente.</t>
  </si>
  <si>
    <t xml:space="preserve">Business case validati oppure lista delle iterazioni richieste.</t>
  </si>
  <si>
    <t xml:space="preserve">Team di progetto + team di lavoro lato cliente</t>
  </si>
  <si>
    <t xml:space="preserve">GATE DI PROGETTO: il consolidamento del report parte solo a validazione avvenuta.</t>
  </si>
  <si>
    <t xml:space="preserve">1.11</t>
  </si>
  <si>
    <t xml:space="preserve">Consolidamento report finale</t>
  </si>
  <si>
    <t xml:space="preserve">5 · Chiusura</t>
  </si>
  <si>
    <t xml:space="preserve">Consolidamento dell'intero assessment nel report finale: stesura delle slide in versione definitiva e valorizzazione economica della roadmap di progetto.</t>
  </si>
  <si>
    <t xml:space="preserve">Recepimento degli esiti della review con il cliente.</t>
  </si>
  <si>
    <t xml:space="preserve">Condivisione anticipata del report con i referenti prima della presentazione.</t>
  </si>
  <si>
    <t xml:space="preserve">Report finale di assessment · roadmap di progetto valorizzata economicamente.</t>
  </si>
  <si>
    <t xml:space="preserve">1.12</t>
  </si>
  <si>
    <t xml:space="preserve">Presentazione assessment</t>
  </si>
  <si>
    <t xml:space="preserve">Presentazione al cliente del report finale di assessment, della roadmap e della relativa valorizzazione economica, come passaggio di consegna verso la fase successiva.</t>
  </si>
  <si>
    <t xml:space="preserve">Allineamento sull'agenda e sui partecipanti lato cliente.</t>
  </si>
  <si>
    <t xml:space="preserve">Consegna formale del report e apertura del confronto sulla fase successiva.</t>
  </si>
  <si>
    <t xml:space="preserve">Assessment consegnato · roadmap valorizzata condivisa · next step definiti.</t>
  </si>
  <si>
    <t xml:space="preserve">Team di progetto + decisori lato cliente</t>
  </si>
  <si>
    <t xml:space="preserve">Modalità (presenza / remoto) da definire.</t>
  </si>
  <si>
    <t xml:space="preserve">TOTALE PROGETTO</t>
  </si>
  <si>
    <t xml:space="preserve">ESEMPIO DI COMPILAZIONE — riga dimostrativa, NON conteggiata nei totali. Mostra il formato atteso per le colonne numeriche.</t>
  </si>
  <si>
    <t xml:space="preserve">es.</t>
  </si>
  <si>
    <t xml:space="preserve">1.x</t>
  </si>
  <si>
    <t xml:space="preserve">Nome della fase</t>
  </si>
  <si>
    <t xml:space="preserve">Descrizione sintetica di cosa avviene nella fase.</t>
  </si>
  <si>
    <t xml:space="preserve">Cosa si fa prima.</t>
  </si>
  <si>
    <t xml:space="preserve">Cosa si fa dopo.</t>
  </si>
  <si>
    <t xml:space="preserve">Cosa serve dal cliente.</t>
  </si>
  <si>
    <t xml:space="preserve">Cosa esce dalla fase.</t>
  </si>
  <si>
    <t xml:space="preserve">Facilitatore senior + 2 consulenti junior</t>
  </si>
  <si>
    <t xml:space="preserve">3 persone in presenza, 1 sola lavora in back office</t>
  </si>
  <si>
    <t xml:space="preserve">1,5 gg front = 3 consulenti per mezza giornata (0,5) + 3 consulenti per mezza giornata (0,5) ...</t>
  </si>
  <si>
    <t xml:space="preserve">TIMELINE DI PROGETTO — sovrapposizione delle fasi per settimana</t>
  </si>
  <si>
    <t xml:space="preserve">Le barre si disegnano da sole dalle settimane impostate nella WBS: qui non si scrive nulla. ARANCIONE = fasi che si svolgono nelle STESSE settimane, in parallelo. BLU = fase con il cliente. GRIGIO = fase interna. La riga in fondo conta quante fasi sono attive in ciascuna settimana.</t>
  </si>
  <si>
    <t xml:space="preserve">Da
sett.</t>
  </si>
  <si>
    <t xml:space="preserve">A
sett.</t>
  </si>
  <si>
    <t xml:space="preserve">Fasi attive nella settimana</t>
  </si>
  <si>
    <t xml:space="preserve">Settimane con più di una fase attiva in parallelo</t>
  </si>
  <si>
    <t xml:space="preserve">Settimana di massima concentrazione (n. fasi in parallelo)</t>
  </si>
  <si>
    <t xml:space="preserve">RIEPILOGO DI PROGETTO</t>
  </si>
  <si>
    <t xml:space="preserve">Tutti i valori sono calcolati dalla WBS e dai Parametri. Nessuna cella di questo foglio va compilata a mano.</t>
  </si>
  <si>
    <t xml:space="preserve">IMPEGNO E COSTO COMPLESSIVO</t>
  </si>
  <si>
    <t xml:space="preserve">Giornate front office (presso il cliente)</t>
  </si>
  <si>
    <t xml:space="preserve">gg-uomo</t>
  </si>
  <si>
    <t xml:space="preserve">Giornate back office</t>
  </si>
  <si>
    <t xml:space="preserve">Giornate di viaggio</t>
  </si>
  <si>
    <t xml:space="preserve">Incluse nel monte ore, come da impostazione concordata.</t>
  </si>
  <si>
    <t xml:space="preserve">TOTALE giornate-uomo di progetto</t>
  </si>
  <si>
    <t xml:space="preserve">TOTALE ore di progetto</t>
  </si>
  <si>
    <t xml:space="preserve">h</t>
  </si>
  <si>
    <t xml:space="preserve">Totale giornate × ore per giornata (Parametri!$C$5).</t>
  </si>
  <si>
    <t xml:space="preserve">COSTO TOTALE DI PROGETTO</t>
  </si>
  <si>
    <t xml:space="preserve">€</t>
  </si>
  <si>
    <t xml:space="preserve">RIPARTIZIONE DEL COSTO PER TIPOLOGIA DI ORA</t>
  </si>
  <si>
    <t xml:space="preserve">Costo ore front office</t>
  </si>
  <si>
    <t xml:space="preserve">Costo ore back office</t>
  </si>
  <si>
    <t xml:space="preserve">Costo ore di viaggio</t>
  </si>
  <si>
    <t xml:space="preserve">Quadratura (deve coincidere con il costo totale)</t>
  </si>
  <si>
    <t xml:space="preserve">Controllo interno: se differisce dal costo totale c'è un errore di formula.</t>
  </si>
  <si>
    <t xml:space="preserve">RIPARTIZIONE PER TIPO DI FASE</t>
  </si>
  <si>
    <t xml:space="preserve">Giornate — fasi con il cliente</t>
  </si>
  <si>
    <t xml:space="preserve">Giornate — fasi interne</t>
  </si>
  <si>
    <t xml:space="preserve">Costo — fasi con il cliente</t>
  </si>
  <si>
    <t xml:space="preserve">Costo — fasi interne</t>
  </si>
  <si>
    <t xml:space="preserve">Incontri previsti con il cliente</t>
  </si>
  <si>
    <t xml:space="preserve">n.</t>
  </si>
  <si>
    <t xml:space="preserve">Fasi con il cliente / fasi interne</t>
  </si>
  <si>
    <t xml:space="preserve">LEAD TIME E EFFETTO DELLA PARALLELIZZAZIONE</t>
  </si>
  <si>
    <t xml:space="preserve">Somma delle durate delle fasi, se svolte in sequenza</t>
  </si>
  <si>
    <t xml:space="preserve">settimane</t>
  </si>
  <si>
    <t xml:space="preserve">Somma aritmetica della colonna «Durata (sett.)» della WBS.</t>
  </si>
  <si>
    <t xml:space="preserve">Lead time di calendario effettivo</t>
  </si>
  <si>
    <t xml:space="preserve">Prima settimana di inizio → ultima settimana di fine, tenendo conto delle fasi sovrapposte.</t>
  </si>
  <si>
    <t xml:space="preserve">Settimane recuperate dalla parallelizzazione</t>
  </si>
  <si>
    <t xml:space="preserve">Effetto dei workshop svolti nelle stesse due settimane.</t>
  </si>
  <si>
    <t xml:space="preserve">Lead time target dichiarato</t>
  </si>
  <si>
    <t xml:space="preserve">Impostato nel foglio «Parametri».</t>
  </si>
  <si>
    <t xml:space="preserve">SCOSTAMENTO effettivo vs target</t>
  </si>
  <si>
    <t xml:space="preserve">Zero = il piano quadra con il target. Diverso da zero = la cella si colora di rosso.</t>
  </si>
  <si>
    <t xml:space="preserve">IPOTESI E PUNTI APERTI</t>
  </si>
  <si>
    <t xml:space="preserve">Pianificazione delle settimane</t>
  </si>
  <si>
    <t xml:space="preserve">Il piano proposto è: S1 kick off · S2 analisi dati · S3–S4 i cinque workshop con il cliente in parallelo (revenue model, ICP e customer journey, process design, tech stack, data model) · S5 interviste qualitative a valle del process design · S6 sintesi e business case · S7 review con il cliente · S8–S9 consolidamento report · S10 presentazione. Totale 10 settimane, coerente con il target dichiarato.</t>
  </si>
  <si>
    <t xml:space="preserve">Giornate front / back / viaggio</t>
  </si>
  <si>
    <t xml:space="preserve">Non ancora fornite: le celle sono vuote e in giallo. Finché non sono compilate, ore e costi restano a zero.</t>
  </si>
  <si>
    <t xml:space="preserve">Tariffe orarie</t>
  </si>
  <si>
    <t xml:space="preserve">Non ancora fornite: da inserire nel foglio «Parametri». Sono tre tariffe distinte (front, back, viaggio).</t>
  </si>
  <si>
    <t xml:space="preserve">Durata dei workshop</t>
  </si>
  <si>
    <t xml:space="preserve">Da definire per revenue model, ICP e customer journey, process design, tech stack, data model e presentazione finale (colonna «Durata incontro (h)» della WBS).</t>
  </si>
  <si>
    <t xml:space="preserve">Modalità da confermare</t>
  </si>
  <si>
    <t xml:space="preserve">Tech stack, data model e presentazione finale sono impostati su «Da definire»: da scegliere fra presenza e remoto. La scelta incide sulle giornate di viaggio.</t>
  </si>
  <si>
    <t xml:space="preserve">Somma sequenziale vs lead time</t>
  </si>
  <si>
    <t xml:space="preserve">La somma delle durate di fase vale 18 settimane perché le cinque fasi in parallelo occupano ciascuna la stessa finestra di 2 settimane. Il lead time reale resta 10 settimane: è questo il numero da leggere.</t>
  </si>
  <si>
    <t xml:space="preserve">Parametri di calcolo</t>
  </si>
  <si>
    <t xml:space="preserve">Le celle GIALLE sono da compilare. Tutto il resto del file si ricalcola da qui: modificando un valore in questa pagina si aggiornano ore e costi di tutte le fasi.</t>
  </si>
  <si>
    <t xml:space="preserve">Parametro</t>
  </si>
  <si>
    <t xml:space="preserve">Valore</t>
  </si>
  <si>
    <t xml:space="preserve">Unità</t>
  </si>
  <si>
    <t xml:space="preserve">Ore per giornata</t>
  </si>
  <si>
    <t xml:space="preserve">Base di conversione giornate → ore. Confermato: 8 ore.</t>
  </si>
  <si>
    <t xml:space="preserve">Tariffa oraria — Front office</t>
  </si>
  <si>
    <t xml:space="preserve">€/h</t>
  </si>
  <si>
    <t xml:space="preserve">Ore erogate presso il cliente.</t>
  </si>
  <si>
    <t xml:space="preserve">Tariffa oraria — Back office</t>
  </si>
  <si>
    <t xml:space="preserve">Ore di lavoro interno (analisi, delivery, reportistica).</t>
  </si>
  <si>
    <t xml:space="preserve">Tariffa oraria — Viaggio</t>
  </si>
  <si>
    <t xml:space="preserve">Ore di trasferimento. Incluse nel monte ore complessivo di progetto.</t>
  </si>
  <si>
    <t xml:space="preserve">Lead time target di progetto</t>
  </si>
  <si>
    <t xml:space="preserve">Durata di calendario dichiarata in fase di impostazione.</t>
  </si>
  <si>
    <t xml:space="preserve">Riferimenti usati dalle formule</t>
  </si>
  <si>
    <t xml:space="preserve">Ore per giornata = Parametri!$C$5   ·   Tariffe = $C$6 / $C$7 / $C$8   ·   Lead time target = $C$10</t>
  </si>
  <si>
    <t xml:space="preserve">Team di progetto — ruoli e nomi</t>
  </si>
  <si>
    <t xml:space="preserve">Compilare la colonna Nome. I ruoli sono quelli richiamati nelle colonne Owner e Partecipanti della WBS.</t>
  </si>
  <si>
    <t xml:space="preserve">Ruolo</t>
  </si>
  <si>
    <t xml:space="preserve">Nome</t>
  </si>
  <si>
    <t xml:space="preserve">Seniority</t>
  </si>
  <si>
    <t xml:space="preserve">Presidio</t>
  </si>
  <si>
    <t xml:space="preserve">Commerciale</t>
  </si>
  <si>
    <t xml:space="preserve">Senior</t>
  </si>
  <si>
    <t xml:space="preserve">Fase 1 — convocazione kick off</t>
  </si>
  <si>
    <t xml:space="preserve">Invia la prima email al cliente per fissare il kick off.</t>
  </si>
  <si>
    <t xml:space="preserve">Fasi 1 → 12 — presidio di progetto</t>
  </si>
  <si>
    <t xml:space="preserve">Invia il follow-up post kick off con documento presentato e tracciato dati. Owner del piano.</t>
  </si>
  <si>
    <t xml:space="preserve">Facilitatore senior</t>
  </si>
  <si>
    <t xml:space="preserve">Alessandro Bruti</t>
  </si>
  <si>
    <t xml:space="preserve">Tutti i workshop con il cliente</t>
  </si>
  <si>
    <t xml:space="preserve">Conduce i workshop di revenue model, ICP, process design, tech stack e data model.</t>
  </si>
  <si>
    <t xml:space="preserve">Consulente RevOps junior 1</t>
  </si>
  <si>
    <t xml:space="preserve">Junior</t>
  </si>
  <si>
    <t xml:space="preserve">Workshop + back office</t>
  </si>
  <si>
    <t xml:space="preserve">In presenza ai workshop; analisi dati e compilazione file di delivery.</t>
  </si>
  <si>
    <t xml:space="preserve">Consulente RevOps junior 2</t>
  </si>
  <si>
    <t xml:space="preserve">In presenza ai workshop; supporto alla delivery.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</si>
</sst>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\-"/>
    <numFmt numFmtId="166" formatCode="#,##0.0;\-#,##0.0;\-"/>
    <numFmt numFmtId="167" formatCode="#,##0.00&quot; €&quot;;[RED]\-#,##0.00&quot; €&quot;;\-"/>
    <numFmt numFmtId="168" formatCode="\S0"/>
    <numFmt numFmtId="169" formatCode=";;;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i val="true"/>
      <sz val="9"/>
      <color rgb="FF806000"/>
      <name val="Arial"/>
      <family val="0"/>
      <charset val="1"/>
    </font>
    <font>
      <i val="true"/>
      <sz val="9"/>
      <color rgb="FF806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B57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CE6EF"/>
        <bgColor rgb="FFF2F2F2"/>
      </patternFill>
    </fill>
    <fill>
      <patternFill patternType="solid">
        <fgColor rgb="FF4472C4"/>
        <bgColor rgb="FF2E75B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B5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6E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ED7D31"/>
        </patternFill>
      </fill>
    </dxf>
    <dxf>
      <fill>
        <patternFill>
          <bgColor rgb="FF7F7F7F"/>
        </patternFill>
      </fill>
    </dxf>
    <dxf>
      <fill>
        <patternFill>
          <bgColor rgb="FF2E75B6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  <sz val="9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008080"/>
      <rgbColor rgb="FFBFBFBF"/>
      <rgbColor rgb="FF7F7F7F"/>
      <rgbColor rgb="FF9999FF"/>
      <rgbColor rgb="FF993366"/>
      <rgbColor rgb="FFFFF2CC"/>
      <rgbColor rgb="FFDCE6E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595959"/>
      <rgbColor rgb="FF969696"/>
      <rgbColor rgb="FF003366"/>
      <rgbColor rgb="FF339966"/>
      <rgbColor rgb="FF006100"/>
      <rgbColor rgb="FF333300"/>
      <rgbColor rgb="FF9933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8"/>
    <col collapsed="false" customWidth="true" hidden="false" outlineLevel="0" max="10" min="10" style="0" width="68"/>
    <col collapsed="false" customWidth="true" hidden="false" outlineLevel="0" max="12" min="11" style="0" width="40"/>
    <col collapsed="false" customWidth="true" hidden="false" outlineLevel="0" max="13" min="13" style="0" width="34"/>
    <col collapsed="false" customWidth="true" hidden="false" outlineLevel="0" max="14" min="14" style="0" width="44"/>
    <col collapsed="false" customWidth="true" hidden="false" outlineLevel="0" max="15" min="15" style="0" width="26"/>
    <col collapsed="false" customWidth="true" hidden="false" outlineLevel="0" max="16" min="16" style="0" width="30"/>
    <col collapsed="false" customWidth="true" hidden="false" outlineLevel="0" max="17" min="17" style="0" width="8"/>
    <col collapsed="false" customWidth="true" hidden="false" outlineLevel="0" max="20" min="18" style="0" width="10"/>
    <col collapsed="false" customWidth="true" hidden="false" outlineLevel="0" max="21" min="21" style="0" width="9"/>
    <col collapsed="false" customWidth="true" hidden="false" outlineLevel="0" max="22" min="22" style="0" width="38"/>
    <col collapsed="false" customWidth="true" hidden="false" outlineLevel="0" max="24" min="23" style="0" width="10"/>
    <col collapsed="false" customWidth="true" hidden="false" outlineLevel="0" max="25" min="25" style="0" width="15"/>
    <col collapsed="false" customWidth="true" hidden="false" outlineLevel="0" max="26" min="26" style="0" width="46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25.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5" customFormat="false" ht="33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4" t="s">
        <v>19</v>
      </c>
      <c r="R5" s="4" t="s">
        <v>20</v>
      </c>
      <c r="S5" s="4" t="s">
        <v>21</v>
      </c>
      <c r="T5" s="4" t="s">
        <v>22</v>
      </c>
      <c r="U5" s="4" t="s">
        <v>23</v>
      </c>
      <c r="V5" s="4" t="s">
        <v>24</v>
      </c>
      <c r="W5" s="4" t="s">
        <v>25</v>
      </c>
      <c r="X5" s="4" t="s">
        <v>26</v>
      </c>
      <c r="Y5" s="4" t="s">
        <v>27</v>
      </c>
      <c r="Z5" s="4" t="s">
        <v>28</v>
      </c>
    </row>
    <row r="6" customFormat="false" ht="78" hidden="false" customHeight="true" outlineLevel="0" collapsed="false">
      <c r="A6" s="5" t="n">
        <v>1</v>
      </c>
      <c r="B6" s="6" t="s">
        <v>29</v>
      </c>
      <c r="C6" s="7" t="s">
        <v>30</v>
      </c>
      <c r="D6" s="6" t="s">
        <v>31</v>
      </c>
      <c r="E6" s="6" t="s">
        <v>32</v>
      </c>
      <c r="F6" s="6" t="s">
        <v>33</v>
      </c>
      <c r="G6" s="8" t="n">
        <v>1</v>
      </c>
      <c r="H6" s="8" t="n">
        <v>1</v>
      </c>
      <c r="I6" s="9" t="n">
        <f aca="false">IF(AND(G6&lt;&gt;"",H6&lt;&gt;""),G6+H6-1,"")</f>
        <v>1</v>
      </c>
      <c r="J6" s="6" t="s">
        <v>34</v>
      </c>
      <c r="K6" s="6" t="s">
        <v>35</v>
      </c>
      <c r="L6" s="6" t="s">
        <v>36</v>
      </c>
      <c r="M6" s="6" t="s">
        <v>37</v>
      </c>
      <c r="N6" s="6" t="s">
        <v>38</v>
      </c>
      <c r="O6" s="6" t="s">
        <v>39</v>
      </c>
      <c r="P6" s="6" t="s">
        <v>40</v>
      </c>
      <c r="Q6" s="8" t="n">
        <v>1</v>
      </c>
      <c r="R6" s="10"/>
      <c r="S6" s="10"/>
      <c r="T6" s="10"/>
      <c r="U6" s="10"/>
      <c r="V6" s="6"/>
      <c r="W6" s="11" t="str">
        <f aca="false">IF(COUNT(S6:U6)=0,"",SUM(S6:U6))</f>
        <v/>
      </c>
      <c r="X6" s="11" t="str">
        <f aca="false">IF(W6="","",W6*Parametri!$C$5)</f>
        <v/>
      </c>
      <c r="Y6" s="12" t="str">
        <f aca="false">IF(COUNT(S6:U6)=0,"",S6*Parametri!$C$5*Parametri!$C$6+T6*Parametri!$C$5*Parametri!$C$7+U6*Parametri!$C$5*Parametri!$C$8)</f>
        <v/>
      </c>
      <c r="Z6" s="6" t="s">
        <v>41</v>
      </c>
    </row>
    <row r="7" customFormat="false" ht="78" hidden="false" customHeight="true" outlineLevel="0" collapsed="false">
      <c r="A7" s="5" t="n">
        <v>2</v>
      </c>
      <c r="B7" s="6" t="s">
        <v>42</v>
      </c>
      <c r="C7" s="13" t="s">
        <v>43</v>
      </c>
      <c r="D7" s="14" t="s">
        <v>44</v>
      </c>
      <c r="E7" s="6" t="s">
        <v>44</v>
      </c>
      <c r="F7" s="6" t="s">
        <v>33</v>
      </c>
      <c r="G7" s="8" t="n">
        <v>2</v>
      </c>
      <c r="H7" s="8" t="n">
        <v>1</v>
      </c>
      <c r="I7" s="9" t="n">
        <f aca="false">IF(AND(G7&lt;&gt;"",H7&lt;&gt;""),G7+H7-1,"")</f>
        <v>2</v>
      </c>
      <c r="J7" s="6" t="s">
        <v>45</v>
      </c>
      <c r="K7" s="6" t="s">
        <v>46</v>
      </c>
      <c r="L7" s="6" t="s">
        <v>47</v>
      </c>
      <c r="M7" s="6" t="s">
        <v>48</v>
      </c>
      <c r="N7" s="6" t="s">
        <v>49</v>
      </c>
      <c r="O7" s="6" t="s">
        <v>50</v>
      </c>
      <c r="P7" s="6" t="s">
        <v>51</v>
      </c>
      <c r="Q7" s="8" t="n">
        <v>1</v>
      </c>
      <c r="R7" s="10" t="n">
        <v>1</v>
      </c>
      <c r="S7" s="10"/>
      <c r="T7" s="10"/>
      <c r="U7" s="10"/>
      <c r="V7" s="6" t="s">
        <v>52</v>
      </c>
      <c r="W7" s="11" t="str">
        <f aca="false">IF(COUNT(S7:U7)=0,"",SUM(S7:U7))</f>
        <v/>
      </c>
      <c r="X7" s="11" t="str">
        <f aca="false">IF(W7="","",W7*Parametri!$C$5)</f>
        <v/>
      </c>
      <c r="Y7" s="12" t="str">
        <f aca="false">IF(COUNT(S7:U7)=0,"",S7*Parametri!$C$5*Parametri!$C$6+T7*Parametri!$C$5*Parametri!$C$7+U7*Parametri!$C$5*Parametri!$C$8)</f>
        <v/>
      </c>
      <c r="Z7" s="6" t="s">
        <v>53</v>
      </c>
    </row>
    <row r="8" customFormat="false" ht="78" hidden="false" customHeight="true" outlineLevel="0" collapsed="false">
      <c r="A8" s="5" t="n">
        <v>3</v>
      </c>
      <c r="B8" s="6" t="s">
        <v>54</v>
      </c>
      <c r="C8" s="7" t="s">
        <v>55</v>
      </c>
      <c r="D8" s="6" t="s">
        <v>31</v>
      </c>
      <c r="E8" s="6" t="s">
        <v>56</v>
      </c>
      <c r="F8" s="6" t="s">
        <v>57</v>
      </c>
      <c r="G8" s="8" t="n">
        <v>3</v>
      </c>
      <c r="H8" s="8" t="n">
        <v>2</v>
      </c>
      <c r="I8" s="9" t="n">
        <f aca="false">IF(AND(G8&lt;&gt;"",H8&lt;&gt;""),G8+H8-1,"")</f>
        <v>4</v>
      </c>
      <c r="J8" s="6" t="s">
        <v>58</v>
      </c>
      <c r="K8" s="6" t="s">
        <v>59</v>
      </c>
      <c r="L8" s="6" t="s">
        <v>60</v>
      </c>
      <c r="M8" s="6" t="s">
        <v>61</v>
      </c>
      <c r="N8" s="6" t="s">
        <v>62</v>
      </c>
      <c r="O8" s="6" t="s">
        <v>50</v>
      </c>
      <c r="P8" s="6" t="s">
        <v>63</v>
      </c>
      <c r="Q8" s="8" t="n">
        <v>2</v>
      </c>
      <c r="R8" s="10"/>
      <c r="S8" s="10"/>
      <c r="T8" s="10"/>
      <c r="U8" s="10"/>
      <c r="V8" s="6" t="s">
        <v>64</v>
      </c>
      <c r="W8" s="11" t="str">
        <f aca="false">IF(COUNT(S8:U8)=0,"",SUM(S8:U8))</f>
        <v/>
      </c>
      <c r="X8" s="11" t="str">
        <f aca="false">IF(W8="","",W8*Parametri!$C$5)</f>
        <v/>
      </c>
      <c r="Y8" s="12" t="str">
        <f aca="false">IF(COUNT(S8:U8)=0,"",S8*Parametri!$C$5*Parametri!$C$6+T8*Parametri!$C$5*Parametri!$C$7+U8*Parametri!$C$5*Parametri!$C$8)</f>
        <v/>
      </c>
      <c r="Z8" s="6" t="s">
        <v>65</v>
      </c>
    </row>
    <row r="9" customFormat="false" ht="78" hidden="false" customHeight="true" outlineLevel="0" collapsed="false">
      <c r="A9" s="5" t="n">
        <v>4</v>
      </c>
      <c r="B9" s="6" t="s">
        <v>66</v>
      </c>
      <c r="C9" s="7" t="s">
        <v>67</v>
      </c>
      <c r="D9" s="6" t="s">
        <v>31</v>
      </c>
      <c r="E9" s="6" t="s">
        <v>32</v>
      </c>
      <c r="F9" s="6" t="s">
        <v>57</v>
      </c>
      <c r="G9" s="8" t="n">
        <v>3</v>
      </c>
      <c r="H9" s="8" t="n">
        <v>2</v>
      </c>
      <c r="I9" s="9" t="n">
        <f aca="false">IF(AND(G9&lt;&gt;"",H9&lt;&gt;""),G9+H9-1,"")</f>
        <v>4</v>
      </c>
      <c r="J9" s="6" t="s">
        <v>68</v>
      </c>
      <c r="K9" s="6" t="s">
        <v>69</v>
      </c>
      <c r="L9" s="6" t="s">
        <v>60</v>
      </c>
      <c r="M9" s="6" t="s">
        <v>70</v>
      </c>
      <c r="N9" s="6" t="s">
        <v>71</v>
      </c>
      <c r="O9" s="6" t="s">
        <v>50</v>
      </c>
      <c r="P9" s="6" t="s">
        <v>63</v>
      </c>
      <c r="Q9" s="8" t="n">
        <v>2</v>
      </c>
      <c r="R9" s="10"/>
      <c r="S9" s="10"/>
      <c r="T9" s="10"/>
      <c r="U9" s="10"/>
      <c r="V9" s="6" t="s">
        <v>72</v>
      </c>
      <c r="W9" s="11" t="str">
        <f aca="false">IF(COUNT(S9:U9)=0,"",SUM(S9:U9))</f>
        <v/>
      </c>
      <c r="X9" s="11" t="str">
        <f aca="false">IF(W9="","",W9*Parametri!$C$5)</f>
        <v/>
      </c>
      <c r="Y9" s="12" t="str">
        <f aca="false">IF(COUNT(S9:U9)=0,"",S9*Parametri!$C$5*Parametri!$C$6+T9*Parametri!$C$5*Parametri!$C$7+U9*Parametri!$C$5*Parametri!$C$8)</f>
        <v/>
      </c>
      <c r="Z9" s="6" t="s">
        <v>65</v>
      </c>
    </row>
    <row r="10" customFormat="false" ht="78" hidden="false" customHeight="true" outlineLevel="0" collapsed="false">
      <c r="A10" s="5" t="n">
        <v>5</v>
      </c>
      <c r="B10" s="6" t="s">
        <v>73</v>
      </c>
      <c r="C10" s="7" t="s">
        <v>74</v>
      </c>
      <c r="D10" s="6" t="s">
        <v>31</v>
      </c>
      <c r="E10" s="6" t="s">
        <v>56</v>
      </c>
      <c r="F10" s="6" t="s">
        <v>57</v>
      </c>
      <c r="G10" s="8" t="n">
        <v>3</v>
      </c>
      <c r="H10" s="8" t="n">
        <v>2</v>
      </c>
      <c r="I10" s="9" t="n">
        <f aca="false">IF(AND(G10&lt;&gt;"",H10&lt;&gt;""),G10+H10-1,"")</f>
        <v>4</v>
      </c>
      <c r="J10" s="6" t="s">
        <v>75</v>
      </c>
      <c r="K10" s="6" t="s">
        <v>76</v>
      </c>
      <c r="L10" s="6" t="s">
        <v>60</v>
      </c>
      <c r="M10" s="6" t="s">
        <v>77</v>
      </c>
      <c r="N10" s="6" t="s">
        <v>78</v>
      </c>
      <c r="O10" s="6" t="s">
        <v>50</v>
      </c>
      <c r="P10" s="6" t="s">
        <v>63</v>
      </c>
      <c r="Q10" s="8"/>
      <c r="R10" s="10"/>
      <c r="S10" s="10"/>
      <c r="T10" s="10"/>
      <c r="U10" s="10"/>
      <c r="V10" s="6" t="s">
        <v>64</v>
      </c>
      <c r="W10" s="11" t="str">
        <f aca="false">IF(COUNT(S10:U10)=0,"",SUM(S10:U10))</f>
        <v/>
      </c>
      <c r="X10" s="11" t="str">
        <f aca="false">IF(W10="","",W10*Parametri!$C$5)</f>
        <v/>
      </c>
      <c r="Y10" s="12" t="str">
        <f aca="false">IF(COUNT(S10:U10)=0,"",S10*Parametri!$C$5*Parametri!$C$6+T10*Parametri!$C$5*Parametri!$C$7+U10*Parametri!$C$5*Parametri!$C$8)</f>
        <v/>
      </c>
      <c r="Z10" s="6" t="s">
        <v>79</v>
      </c>
    </row>
    <row r="11" customFormat="false" ht="78" hidden="false" customHeight="true" outlineLevel="0" collapsed="false">
      <c r="A11" s="5" t="n">
        <v>6</v>
      </c>
      <c r="B11" s="6" t="s">
        <v>80</v>
      </c>
      <c r="C11" s="7" t="s">
        <v>81</v>
      </c>
      <c r="D11" s="6" t="s">
        <v>31</v>
      </c>
      <c r="E11" s="6" t="s">
        <v>82</v>
      </c>
      <c r="F11" s="6" t="s">
        <v>57</v>
      </c>
      <c r="G11" s="8" t="n">
        <v>3</v>
      </c>
      <c r="H11" s="8" t="n">
        <v>2</v>
      </c>
      <c r="I11" s="9" t="n">
        <f aca="false">IF(AND(G11&lt;&gt;"",H11&lt;&gt;""),G11+H11-1,"")</f>
        <v>4</v>
      </c>
      <c r="J11" s="6" t="s">
        <v>83</v>
      </c>
      <c r="K11" s="6" t="s">
        <v>84</v>
      </c>
      <c r="L11" s="6" t="s">
        <v>60</v>
      </c>
      <c r="M11" s="6" t="s">
        <v>85</v>
      </c>
      <c r="N11" s="6" t="s">
        <v>86</v>
      </c>
      <c r="O11" s="6" t="s">
        <v>50</v>
      </c>
      <c r="P11" s="6" t="s">
        <v>63</v>
      </c>
      <c r="Q11" s="8"/>
      <c r="R11" s="10"/>
      <c r="S11" s="10"/>
      <c r="T11" s="10"/>
      <c r="U11" s="10"/>
      <c r="V11" s="6" t="s">
        <v>87</v>
      </c>
      <c r="W11" s="11" t="str">
        <f aca="false">IF(COUNT(S11:U11)=0,"",SUM(S11:U11))</f>
        <v/>
      </c>
      <c r="X11" s="11" t="str">
        <f aca="false">IF(W11="","",W11*Parametri!$C$5)</f>
        <v/>
      </c>
      <c r="Y11" s="12" t="str">
        <f aca="false">IF(COUNT(S11:U11)=0,"",S11*Parametri!$C$5*Parametri!$C$6+T11*Parametri!$C$5*Parametri!$C$7+U11*Parametri!$C$5*Parametri!$C$8)</f>
        <v/>
      </c>
      <c r="Z11" s="6" t="s">
        <v>88</v>
      </c>
    </row>
    <row r="12" customFormat="false" ht="78" hidden="false" customHeight="true" outlineLevel="0" collapsed="false">
      <c r="A12" s="5" t="n">
        <v>7</v>
      </c>
      <c r="B12" s="6" t="s">
        <v>89</v>
      </c>
      <c r="C12" s="7" t="s">
        <v>90</v>
      </c>
      <c r="D12" s="6" t="s">
        <v>31</v>
      </c>
      <c r="E12" s="6" t="s">
        <v>82</v>
      </c>
      <c r="F12" s="6" t="s">
        <v>57</v>
      </c>
      <c r="G12" s="8" t="n">
        <v>3</v>
      </c>
      <c r="H12" s="8" t="n">
        <v>2</v>
      </c>
      <c r="I12" s="9" t="n">
        <f aca="false">IF(AND(G12&lt;&gt;"",H12&lt;&gt;""),G12+H12-1,"")</f>
        <v>4</v>
      </c>
      <c r="J12" s="6" t="s">
        <v>91</v>
      </c>
      <c r="K12" s="6" t="s">
        <v>92</v>
      </c>
      <c r="L12" s="6" t="s">
        <v>60</v>
      </c>
      <c r="M12" s="6" t="s">
        <v>93</v>
      </c>
      <c r="N12" s="6" t="s">
        <v>94</v>
      </c>
      <c r="O12" s="6" t="s">
        <v>50</v>
      </c>
      <c r="P12" s="6" t="s">
        <v>63</v>
      </c>
      <c r="Q12" s="8" t="n">
        <v>1</v>
      </c>
      <c r="R12" s="10"/>
      <c r="S12" s="10"/>
      <c r="T12" s="10"/>
      <c r="U12" s="10"/>
      <c r="V12" s="6" t="s">
        <v>87</v>
      </c>
      <c r="W12" s="11" t="str">
        <f aca="false">IF(COUNT(S12:U12)=0,"",SUM(S12:U12))</f>
        <v/>
      </c>
      <c r="X12" s="11" t="str">
        <f aca="false">IF(W12="","",W12*Parametri!$C$5)</f>
        <v/>
      </c>
      <c r="Y12" s="12" t="str">
        <f aca="false">IF(COUNT(S12:U12)=0,"",S12*Parametri!$C$5*Parametri!$C$6+T12*Parametri!$C$5*Parametri!$C$7+U12*Parametri!$C$5*Parametri!$C$8)</f>
        <v/>
      </c>
      <c r="Z12" s="6" t="s">
        <v>95</v>
      </c>
    </row>
    <row r="13" customFormat="false" ht="78" hidden="false" customHeight="true" outlineLevel="0" collapsed="false">
      <c r="A13" s="5" t="n">
        <v>8</v>
      </c>
      <c r="B13" s="6" t="s">
        <v>96</v>
      </c>
      <c r="C13" s="7" t="s">
        <v>97</v>
      </c>
      <c r="D13" s="6" t="s">
        <v>31</v>
      </c>
      <c r="E13" s="6" t="s">
        <v>32</v>
      </c>
      <c r="F13" s="6" t="s">
        <v>98</v>
      </c>
      <c r="G13" s="8" t="n">
        <v>5</v>
      </c>
      <c r="H13" s="8" t="n">
        <v>1</v>
      </c>
      <c r="I13" s="9" t="n">
        <f aca="false">IF(AND(G13&lt;&gt;"",H13&lt;&gt;""),G13+H13-1,"")</f>
        <v>5</v>
      </c>
      <c r="J13" s="6" t="s">
        <v>99</v>
      </c>
      <c r="K13" s="6" t="s">
        <v>100</v>
      </c>
      <c r="L13" s="6" t="s">
        <v>101</v>
      </c>
      <c r="M13" s="6" t="s">
        <v>102</v>
      </c>
      <c r="N13" s="6" t="s">
        <v>103</v>
      </c>
      <c r="O13" s="6" t="s">
        <v>50</v>
      </c>
      <c r="P13" s="6" t="s">
        <v>104</v>
      </c>
      <c r="Q13" s="8"/>
      <c r="R13" s="10"/>
      <c r="S13" s="10"/>
      <c r="T13" s="10"/>
      <c r="U13" s="10"/>
      <c r="V13" s="6" t="s">
        <v>105</v>
      </c>
      <c r="W13" s="11" t="str">
        <f aca="false">IF(COUNT(S13:U13)=0,"",SUM(S13:U13))</f>
        <v/>
      </c>
      <c r="X13" s="11" t="str">
        <f aca="false">IF(W13="","",W13*Parametri!$C$5)</f>
        <v/>
      </c>
      <c r="Y13" s="12" t="str">
        <f aca="false">IF(COUNT(S13:U13)=0,"",S13*Parametri!$C$5*Parametri!$C$6+T13*Parametri!$C$5*Parametri!$C$7+U13*Parametri!$C$5*Parametri!$C$8)</f>
        <v/>
      </c>
      <c r="Z13" s="6" t="s">
        <v>106</v>
      </c>
    </row>
    <row r="14" customFormat="false" ht="78" hidden="false" customHeight="true" outlineLevel="0" collapsed="false">
      <c r="A14" s="5" t="n">
        <v>9</v>
      </c>
      <c r="B14" s="6" t="s">
        <v>107</v>
      </c>
      <c r="C14" s="13" t="s">
        <v>108</v>
      </c>
      <c r="D14" s="14" t="s">
        <v>44</v>
      </c>
      <c r="E14" s="6" t="s">
        <v>44</v>
      </c>
      <c r="F14" s="6" t="s">
        <v>109</v>
      </c>
      <c r="G14" s="8" t="n">
        <v>6</v>
      </c>
      <c r="H14" s="8" t="n">
        <v>1</v>
      </c>
      <c r="I14" s="9" t="n">
        <f aca="false">IF(AND(G14&lt;&gt;"",H14&lt;&gt;""),G14+H14-1,"")</f>
        <v>6</v>
      </c>
      <c r="J14" s="6" t="s">
        <v>110</v>
      </c>
      <c r="K14" s="6" t="s">
        <v>111</v>
      </c>
      <c r="L14" s="6" t="s">
        <v>112</v>
      </c>
      <c r="M14" s="6"/>
      <c r="N14" s="6" t="s">
        <v>113</v>
      </c>
      <c r="O14" s="6" t="s">
        <v>50</v>
      </c>
      <c r="P14" s="6" t="s">
        <v>114</v>
      </c>
      <c r="Q14" s="8"/>
      <c r="R14" s="10"/>
      <c r="S14" s="10"/>
      <c r="T14" s="10"/>
      <c r="U14" s="10"/>
      <c r="V14" s="6"/>
      <c r="W14" s="11" t="str">
        <f aca="false">IF(COUNT(S14:U14)=0,"",SUM(S14:U14))</f>
        <v/>
      </c>
      <c r="X14" s="11" t="str">
        <f aca="false">IF(W14="","",W14*Parametri!$C$5)</f>
        <v/>
      </c>
      <c r="Y14" s="12" t="str">
        <f aca="false">IF(COUNT(S14:U14)=0,"",S14*Parametri!$C$5*Parametri!$C$6+T14*Parametri!$C$5*Parametri!$C$7+U14*Parametri!$C$5*Parametri!$C$8)</f>
        <v/>
      </c>
      <c r="Z14" s="6"/>
    </row>
    <row r="15" customFormat="false" ht="78" hidden="false" customHeight="true" outlineLevel="0" collapsed="false">
      <c r="A15" s="5" t="n">
        <v>10</v>
      </c>
      <c r="B15" s="6" t="s">
        <v>115</v>
      </c>
      <c r="C15" s="7" t="s">
        <v>116</v>
      </c>
      <c r="D15" s="6" t="s">
        <v>31</v>
      </c>
      <c r="E15" s="6" t="s">
        <v>32</v>
      </c>
      <c r="F15" s="6" t="s">
        <v>109</v>
      </c>
      <c r="G15" s="8" t="n">
        <v>7</v>
      </c>
      <c r="H15" s="8" t="n">
        <v>1</v>
      </c>
      <c r="I15" s="9" t="n">
        <f aca="false">IF(AND(G15&lt;&gt;"",H15&lt;&gt;""),G15+H15-1,"")</f>
        <v>7</v>
      </c>
      <c r="J15" s="6" t="s">
        <v>117</v>
      </c>
      <c r="K15" s="6" t="s">
        <v>118</v>
      </c>
      <c r="L15" s="6" t="s">
        <v>119</v>
      </c>
      <c r="M15" s="6" t="s">
        <v>120</v>
      </c>
      <c r="N15" s="6" t="s">
        <v>121</v>
      </c>
      <c r="O15" s="6" t="s">
        <v>50</v>
      </c>
      <c r="P15" s="6" t="s">
        <v>122</v>
      </c>
      <c r="Q15" s="8" t="n">
        <v>1</v>
      </c>
      <c r="R15" s="10"/>
      <c r="S15" s="10"/>
      <c r="T15" s="10"/>
      <c r="U15" s="10"/>
      <c r="V15" s="6"/>
      <c r="W15" s="11" t="str">
        <f aca="false">IF(COUNT(S15:U15)=0,"",SUM(S15:U15))</f>
        <v/>
      </c>
      <c r="X15" s="11" t="str">
        <f aca="false">IF(W15="","",W15*Parametri!$C$5)</f>
        <v/>
      </c>
      <c r="Y15" s="12" t="str">
        <f aca="false">IF(COUNT(S15:U15)=0,"",S15*Parametri!$C$5*Parametri!$C$6+T15*Parametri!$C$5*Parametri!$C$7+U15*Parametri!$C$5*Parametri!$C$8)</f>
        <v/>
      </c>
      <c r="Z15" s="6" t="s">
        <v>123</v>
      </c>
    </row>
    <row r="16" customFormat="false" ht="78" hidden="false" customHeight="true" outlineLevel="0" collapsed="false">
      <c r="A16" s="5" t="n">
        <v>11</v>
      </c>
      <c r="B16" s="6" t="s">
        <v>124</v>
      </c>
      <c r="C16" s="13" t="s">
        <v>125</v>
      </c>
      <c r="D16" s="14" t="s">
        <v>44</v>
      </c>
      <c r="E16" s="6" t="s">
        <v>44</v>
      </c>
      <c r="F16" s="6" t="s">
        <v>126</v>
      </c>
      <c r="G16" s="8" t="n">
        <v>8</v>
      </c>
      <c r="H16" s="8" t="n">
        <v>2</v>
      </c>
      <c r="I16" s="9" t="n">
        <f aca="false">IF(AND(G16&lt;&gt;"",H16&lt;&gt;""),G16+H16-1,"")</f>
        <v>9</v>
      </c>
      <c r="J16" s="6" t="s">
        <v>127</v>
      </c>
      <c r="K16" s="6" t="s">
        <v>128</v>
      </c>
      <c r="L16" s="6" t="s">
        <v>129</v>
      </c>
      <c r="M16" s="6"/>
      <c r="N16" s="6" t="s">
        <v>130</v>
      </c>
      <c r="O16" s="6" t="s">
        <v>50</v>
      </c>
      <c r="P16" s="6" t="s">
        <v>114</v>
      </c>
      <c r="Q16" s="8"/>
      <c r="R16" s="10"/>
      <c r="S16" s="10"/>
      <c r="T16" s="10"/>
      <c r="U16" s="10"/>
      <c r="V16" s="6"/>
      <c r="W16" s="11" t="str">
        <f aca="false">IF(COUNT(S16:U16)=0,"",SUM(S16:U16))</f>
        <v/>
      </c>
      <c r="X16" s="11" t="str">
        <f aca="false">IF(W16="","",W16*Parametri!$C$5)</f>
        <v/>
      </c>
      <c r="Y16" s="12" t="str">
        <f aca="false">IF(COUNT(S16:U16)=0,"",S16*Parametri!$C$5*Parametri!$C$6+T16*Parametri!$C$5*Parametri!$C$7+U16*Parametri!$C$5*Parametri!$C$8)</f>
        <v/>
      </c>
      <c r="Z16" s="6"/>
    </row>
    <row r="17" customFormat="false" ht="78" hidden="false" customHeight="true" outlineLevel="0" collapsed="false">
      <c r="A17" s="5" t="n">
        <v>12</v>
      </c>
      <c r="B17" s="6" t="s">
        <v>131</v>
      </c>
      <c r="C17" s="7" t="s">
        <v>132</v>
      </c>
      <c r="D17" s="6" t="s">
        <v>31</v>
      </c>
      <c r="E17" s="6" t="s">
        <v>82</v>
      </c>
      <c r="F17" s="6" t="s">
        <v>126</v>
      </c>
      <c r="G17" s="8" t="n">
        <v>10</v>
      </c>
      <c r="H17" s="8" t="n">
        <v>1</v>
      </c>
      <c r="I17" s="9" t="n">
        <f aca="false">IF(AND(G17&lt;&gt;"",H17&lt;&gt;""),G17+H17-1,"")</f>
        <v>10</v>
      </c>
      <c r="J17" s="6" t="s">
        <v>133</v>
      </c>
      <c r="K17" s="6" t="s">
        <v>134</v>
      </c>
      <c r="L17" s="6" t="s">
        <v>135</v>
      </c>
      <c r="M17" s="6" t="s">
        <v>120</v>
      </c>
      <c r="N17" s="6" t="s">
        <v>136</v>
      </c>
      <c r="O17" s="6" t="s">
        <v>50</v>
      </c>
      <c r="P17" s="6" t="s">
        <v>137</v>
      </c>
      <c r="Q17" s="8" t="n">
        <v>1</v>
      </c>
      <c r="R17" s="10"/>
      <c r="S17" s="10"/>
      <c r="T17" s="10"/>
      <c r="U17" s="10"/>
      <c r="V17" s="6"/>
      <c r="W17" s="11" t="str">
        <f aca="false">IF(COUNT(S17:U17)=0,"",SUM(S17:U17))</f>
        <v/>
      </c>
      <c r="X17" s="11" t="str">
        <f aca="false">IF(W17="","",W17*Parametri!$C$5)</f>
        <v/>
      </c>
      <c r="Y17" s="12" t="str">
        <f aca="false">IF(COUNT(S17:U17)=0,"",S17*Parametri!$C$5*Parametri!$C$6+T17*Parametri!$C$5*Parametri!$C$7+U17*Parametri!$C$5*Parametri!$C$8)</f>
        <v/>
      </c>
      <c r="Z17" s="6" t="s">
        <v>138</v>
      </c>
    </row>
    <row r="18" customFormat="false" ht="21.75" hidden="false" customHeight="true" outlineLevel="0" collapsed="false">
      <c r="A18" s="4" t="s">
        <v>139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15" t="n">
        <f aca="false">SUM(S6:S17)</f>
        <v>0</v>
      </c>
      <c r="T18" s="15" t="n">
        <f aca="false">SUM(T6:T17)</f>
        <v>0</v>
      </c>
      <c r="U18" s="15" t="n">
        <f aca="false">SUM(U6:U17)</f>
        <v>0</v>
      </c>
      <c r="V18" s="4"/>
      <c r="W18" s="15" t="n">
        <f aca="false">SUM(W6:W17)</f>
        <v>0</v>
      </c>
      <c r="X18" s="15" t="n">
        <f aca="false">SUM(X6:X17)</f>
        <v>0</v>
      </c>
      <c r="Y18" s="16" t="n">
        <f aca="false">SUM(Y6:Y17)</f>
        <v>0</v>
      </c>
      <c r="Z18" s="4"/>
    </row>
    <row r="20" customFormat="false" ht="11.9" hidden="false" customHeight="true" outlineLevel="0" collapsed="false">
      <c r="A20" s="17" t="s">
        <v>140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customFormat="false" ht="43.5" hidden="false" customHeight="true" outlineLevel="0" collapsed="false">
      <c r="A21" s="18" t="s">
        <v>141</v>
      </c>
      <c r="B21" s="19" t="s">
        <v>142</v>
      </c>
      <c r="C21" s="19" t="s">
        <v>143</v>
      </c>
      <c r="D21" s="19" t="s">
        <v>31</v>
      </c>
      <c r="E21" s="19" t="s">
        <v>56</v>
      </c>
      <c r="F21" s="19" t="s">
        <v>57</v>
      </c>
      <c r="G21" s="20" t="n">
        <v>3</v>
      </c>
      <c r="H21" s="20" t="n">
        <v>2</v>
      </c>
      <c r="I21" s="20" t="n">
        <f aca="false">G21+H21-1</f>
        <v>4</v>
      </c>
      <c r="J21" s="19" t="s">
        <v>144</v>
      </c>
      <c r="K21" s="19" t="s">
        <v>145</v>
      </c>
      <c r="L21" s="19" t="s">
        <v>146</v>
      </c>
      <c r="M21" s="19" t="s">
        <v>147</v>
      </c>
      <c r="N21" s="19" t="s">
        <v>148</v>
      </c>
      <c r="O21" s="19" t="s">
        <v>50</v>
      </c>
      <c r="P21" s="19" t="s">
        <v>149</v>
      </c>
      <c r="Q21" s="20" t="n">
        <v>2</v>
      </c>
      <c r="R21" s="21" t="n">
        <v>4</v>
      </c>
      <c r="S21" s="21" t="n">
        <v>1.5</v>
      </c>
      <c r="T21" s="21" t="n">
        <v>2</v>
      </c>
      <c r="U21" s="21" t="n">
        <v>0.5</v>
      </c>
      <c r="V21" s="19" t="s">
        <v>150</v>
      </c>
      <c r="W21" s="21" t="n">
        <f aca="false">SUM(S21:U21)</f>
        <v>4</v>
      </c>
      <c r="X21" s="21" t="n">
        <f aca="false">W21*Parametri!$C$5</f>
        <v>32</v>
      </c>
      <c r="Y21" s="22" t="n">
        <f aca="false">S21*Parametri!$C$5*Parametri!$C$6+T21*Parametri!$C$5*Parametri!$C$7+U21*Parametri!$C$5*Parametri!$C$8</f>
        <v>0</v>
      </c>
      <c r="Z21" s="19" t="s">
        <v>151</v>
      </c>
    </row>
  </sheetData>
  <autoFilter ref="A5:Z17"/>
  <mergeCells count="5">
    <mergeCell ref="A1:Z1"/>
    <mergeCell ref="A2:Z2"/>
    <mergeCell ref="A3:Z3"/>
    <mergeCell ref="A18:R18"/>
    <mergeCell ref="A20:Z20"/>
  </mergeCells>
  <dataValidations count="2">
    <dataValidation allowBlank="true" errorStyle="stop" operator="between" showDropDown="false" showErrorMessage="false" showInputMessage="false" sqref="D6:D17" type="list">
      <formula1>"Cliente,Interna"</formula1>
      <formula2>0</formula2>
    </dataValidation>
    <dataValidation allowBlank="true" errorStyle="stop" operator="between" showDropDown="false" showErrorMessage="false" showInputMessage="false" sqref="E6:E17" type="list">
      <formula1>"In presenza,Remoto,Interna,Da definire"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6" min="5" style="0" width="8"/>
    <col collapsed="false" customWidth="true" hidden="false" outlineLevel="0" max="18" min="7" style="0" width="5.5"/>
  </cols>
  <sheetData>
    <row r="1" customFormat="false" ht="25.5" hidden="false" customHeight="true" outlineLevel="0" collapsed="false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25.5" hidden="false" customHeight="true" outlineLevel="0" collapsed="false">
      <c r="A2" s="2" t="s">
        <v>153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4" hidden="false" customHeight="true" outlineLevel="0" collapsed="false">
      <c r="A4" s="4" t="s">
        <v>3</v>
      </c>
      <c r="B4" s="4" t="s">
        <v>5</v>
      </c>
      <c r="C4" s="4" t="s">
        <v>6</v>
      </c>
      <c r="D4" s="4" t="s">
        <v>8</v>
      </c>
      <c r="E4" s="4" t="s">
        <v>154</v>
      </c>
      <c r="F4" s="4" t="s">
        <v>155</v>
      </c>
      <c r="G4" s="23" t="n">
        <v>1</v>
      </c>
      <c r="H4" s="23" t="n">
        <v>2</v>
      </c>
      <c r="I4" s="23" t="n">
        <v>3</v>
      </c>
      <c r="J4" s="23" t="n">
        <v>4</v>
      </c>
      <c r="K4" s="23" t="n">
        <v>5</v>
      </c>
      <c r="L4" s="23" t="n">
        <v>6</v>
      </c>
      <c r="M4" s="23" t="n">
        <v>7</v>
      </c>
      <c r="N4" s="23" t="n">
        <v>8</v>
      </c>
      <c r="O4" s="23" t="n">
        <v>9</v>
      </c>
      <c r="P4" s="23" t="n">
        <v>10</v>
      </c>
      <c r="Q4" s="23" t="n">
        <v>11</v>
      </c>
      <c r="R4" s="23" t="n">
        <v>12</v>
      </c>
    </row>
    <row r="5" customFormat="false" ht="21.75" hidden="false" customHeight="true" outlineLevel="0" collapsed="false">
      <c r="A5" s="24" t="n">
        <f aca="false">WBS!A6</f>
        <v>1</v>
      </c>
      <c r="B5" s="25" t="str">
        <f aca="false">WBS!C6</f>
        <v>Kick off e raccolta dati</v>
      </c>
      <c r="C5" s="26" t="str">
        <f aca="false">WBS!D6</f>
        <v>Cliente</v>
      </c>
      <c r="D5" s="27" t="str">
        <f aca="false">WBS!F6</f>
        <v>1 · Avvio</v>
      </c>
      <c r="E5" s="24" t="n">
        <f aca="false">WBS!G6</f>
        <v>1</v>
      </c>
      <c r="F5" s="24" t="n">
        <f aca="false">WBS!I6</f>
        <v>1</v>
      </c>
      <c r="G5" s="28" t="n">
        <f aca="false">IF(AND($E5&lt;&gt;"",$F5&lt;&gt;"",$E5&lt;=G$4,$F5&gt;=G$4),1,"")</f>
        <v>1</v>
      </c>
      <c r="H5" s="28" t="str">
        <f aca="false">IF(AND($E5&lt;&gt;"",$F5&lt;&gt;"",$E5&lt;=H$4,$F5&gt;=H$4),1,"")</f>
        <v/>
      </c>
      <c r="I5" s="28" t="str">
        <f aca="false">IF(AND($E5&lt;&gt;"",$F5&lt;&gt;"",$E5&lt;=I$4,$F5&gt;=I$4),1,"")</f>
        <v/>
      </c>
      <c r="J5" s="28" t="str">
        <f aca="false">IF(AND($E5&lt;&gt;"",$F5&lt;&gt;"",$E5&lt;=J$4,$F5&gt;=J$4),1,"")</f>
        <v/>
      </c>
      <c r="K5" s="28" t="str">
        <f aca="false">IF(AND($E5&lt;&gt;"",$F5&lt;&gt;"",$E5&lt;=K$4,$F5&gt;=K$4),1,"")</f>
        <v/>
      </c>
      <c r="L5" s="28" t="str">
        <f aca="false">IF(AND($E5&lt;&gt;"",$F5&lt;&gt;"",$E5&lt;=L$4,$F5&gt;=L$4),1,"")</f>
        <v/>
      </c>
      <c r="M5" s="28" t="str">
        <f aca="false">IF(AND($E5&lt;&gt;"",$F5&lt;&gt;"",$E5&lt;=M$4,$F5&gt;=M$4),1,"")</f>
        <v/>
      </c>
      <c r="N5" s="28" t="str">
        <f aca="false">IF(AND($E5&lt;&gt;"",$F5&lt;&gt;"",$E5&lt;=N$4,$F5&gt;=N$4),1,"")</f>
        <v/>
      </c>
      <c r="O5" s="28" t="str">
        <f aca="false">IF(AND($E5&lt;&gt;"",$F5&lt;&gt;"",$E5&lt;=O$4,$F5&gt;=O$4),1,"")</f>
        <v/>
      </c>
      <c r="P5" s="28" t="str">
        <f aca="false">IF(AND($E5&lt;&gt;"",$F5&lt;&gt;"",$E5&lt;=P$4,$F5&gt;=P$4),1,"")</f>
        <v/>
      </c>
      <c r="Q5" s="28" t="str">
        <f aca="false">IF(AND($E5&lt;&gt;"",$F5&lt;&gt;"",$E5&lt;=Q$4,$F5&gt;=Q$4),1,"")</f>
        <v/>
      </c>
      <c r="R5" s="28" t="str">
        <f aca="false">IF(AND($E5&lt;&gt;"",$F5&lt;&gt;"",$E5&lt;=R$4,$F5&gt;=R$4),1,"")</f>
        <v/>
      </c>
    </row>
    <row r="6" customFormat="false" ht="21.75" hidden="false" customHeight="true" outlineLevel="0" collapsed="false">
      <c r="A6" s="24" t="n">
        <f aca="false">WBS!A7</f>
        <v>2</v>
      </c>
      <c r="B6" s="25" t="str">
        <f aca="false">WBS!C7</f>
        <v>Analisi dati e sintesi</v>
      </c>
      <c r="C6" s="26" t="str">
        <f aca="false">WBS!D7</f>
        <v>Interna</v>
      </c>
      <c r="D6" s="27" t="str">
        <f aca="false">WBS!F7</f>
        <v>1 · Avvio</v>
      </c>
      <c r="E6" s="24" t="n">
        <f aca="false">WBS!G7</f>
        <v>2</v>
      </c>
      <c r="F6" s="24" t="n">
        <f aca="false">WBS!I7</f>
        <v>2</v>
      </c>
      <c r="G6" s="28" t="str">
        <f aca="false">IF(AND($E6&lt;&gt;"",$F6&lt;&gt;"",$E6&lt;=G$4,$F6&gt;=G$4),1,"")</f>
        <v/>
      </c>
      <c r="H6" s="28" t="n">
        <f aca="false">IF(AND($E6&lt;&gt;"",$F6&lt;&gt;"",$E6&lt;=H$4,$F6&gt;=H$4),1,"")</f>
        <v>1</v>
      </c>
      <c r="I6" s="28" t="str">
        <f aca="false">IF(AND($E6&lt;&gt;"",$F6&lt;&gt;"",$E6&lt;=I$4,$F6&gt;=I$4),1,"")</f>
        <v/>
      </c>
      <c r="J6" s="28" t="str">
        <f aca="false">IF(AND($E6&lt;&gt;"",$F6&lt;&gt;"",$E6&lt;=J$4,$F6&gt;=J$4),1,"")</f>
        <v/>
      </c>
      <c r="K6" s="28" t="str">
        <f aca="false">IF(AND($E6&lt;&gt;"",$F6&lt;&gt;"",$E6&lt;=K$4,$F6&gt;=K$4),1,"")</f>
        <v/>
      </c>
      <c r="L6" s="28" t="str">
        <f aca="false">IF(AND($E6&lt;&gt;"",$F6&lt;&gt;"",$E6&lt;=L$4,$F6&gt;=L$4),1,"")</f>
        <v/>
      </c>
      <c r="M6" s="28" t="str">
        <f aca="false">IF(AND($E6&lt;&gt;"",$F6&lt;&gt;"",$E6&lt;=M$4,$F6&gt;=M$4),1,"")</f>
        <v/>
      </c>
      <c r="N6" s="28" t="str">
        <f aca="false">IF(AND($E6&lt;&gt;"",$F6&lt;&gt;"",$E6&lt;=N$4,$F6&gt;=N$4),1,"")</f>
        <v/>
      </c>
      <c r="O6" s="28" t="str">
        <f aca="false">IF(AND($E6&lt;&gt;"",$F6&lt;&gt;"",$E6&lt;=O$4,$F6&gt;=O$4),1,"")</f>
        <v/>
      </c>
      <c r="P6" s="28" t="str">
        <f aca="false">IF(AND($E6&lt;&gt;"",$F6&lt;&gt;"",$E6&lt;=P$4,$F6&gt;=P$4),1,"")</f>
        <v/>
      </c>
      <c r="Q6" s="28" t="str">
        <f aca="false">IF(AND($E6&lt;&gt;"",$F6&lt;&gt;"",$E6&lt;=Q$4,$F6&gt;=Q$4),1,"")</f>
        <v/>
      </c>
      <c r="R6" s="28" t="str">
        <f aca="false">IF(AND($E6&lt;&gt;"",$F6&lt;&gt;"",$E6&lt;=R$4,$F6&gt;=R$4),1,"")</f>
        <v/>
      </c>
    </row>
    <row r="7" customFormat="false" ht="21.75" hidden="false" customHeight="true" outlineLevel="0" collapsed="false">
      <c r="A7" s="24" t="n">
        <f aca="false">WBS!A8</f>
        <v>3</v>
      </c>
      <c r="B7" s="25" t="str">
        <f aca="false">WBS!C8</f>
        <v>Revenue model</v>
      </c>
      <c r="C7" s="26" t="str">
        <f aca="false">WBS!D8</f>
        <v>Cliente</v>
      </c>
      <c r="D7" s="27" t="str">
        <f aca="false">WBS!F8</f>
        <v>2 · Workshop in parallelo</v>
      </c>
      <c r="E7" s="24" t="n">
        <f aca="false">WBS!G8</f>
        <v>3</v>
      </c>
      <c r="F7" s="24" t="n">
        <f aca="false">WBS!I8</f>
        <v>4</v>
      </c>
      <c r="G7" s="28" t="str">
        <f aca="false">IF(AND($E7&lt;&gt;"",$F7&lt;&gt;"",$E7&lt;=G$4,$F7&gt;=G$4),1,"")</f>
        <v/>
      </c>
      <c r="H7" s="28" t="str">
        <f aca="false">IF(AND($E7&lt;&gt;"",$F7&lt;&gt;"",$E7&lt;=H$4,$F7&gt;=H$4),1,"")</f>
        <v/>
      </c>
      <c r="I7" s="28" t="n">
        <f aca="false">IF(AND($E7&lt;&gt;"",$F7&lt;&gt;"",$E7&lt;=I$4,$F7&gt;=I$4),1,"")</f>
        <v>1</v>
      </c>
      <c r="J7" s="28" t="n">
        <f aca="false">IF(AND($E7&lt;&gt;"",$F7&lt;&gt;"",$E7&lt;=J$4,$F7&gt;=J$4),1,"")</f>
        <v>1</v>
      </c>
      <c r="K7" s="28" t="str">
        <f aca="false">IF(AND($E7&lt;&gt;"",$F7&lt;&gt;"",$E7&lt;=K$4,$F7&gt;=K$4),1,"")</f>
        <v/>
      </c>
      <c r="L7" s="28" t="str">
        <f aca="false">IF(AND($E7&lt;&gt;"",$F7&lt;&gt;"",$E7&lt;=L$4,$F7&gt;=L$4),1,"")</f>
        <v/>
      </c>
      <c r="M7" s="28" t="str">
        <f aca="false">IF(AND($E7&lt;&gt;"",$F7&lt;&gt;"",$E7&lt;=M$4,$F7&gt;=M$4),1,"")</f>
        <v/>
      </c>
      <c r="N7" s="28" t="str">
        <f aca="false">IF(AND($E7&lt;&gt;"",$F7&lt;&gt;"",$E7&lt;=N$4,$F7&gt;=N$4),1,"")</f>
        <v/>
      </c>
      <c r="O7" s="28" t="str">
        <f aca="false">IF(AND($E7&lt;&gt;"",$F7&lt;&gt;"",$E7&lt;=O$4,$F7&gt;=O$4),1,"")</f>
        <v/>
      </c>
      <c r="P7" s="28" t="str">
        <f aca="false">IF(AND($E7&lt;&gt;"",$F7&lt;&gt;"",$E7&lt;=P$4,$F7&gt;=P$4),1,"")</f>
        <v/>
      </c>
      <c r="Q7" s="28" t="str">
        <f aca="false">IF(AND($E7&lt;&gt;"",$F7&lt;&gt;"",$E7&lt;=Q$4,$F7&gt;=Q$4),1,"")</f>
        <v/>
      </c>
      <c r="R7" s="28" t="str">
        <f aca="false">IF(AND($E7&lt;&gt;"",$F7&lt;&gt;"",$E7&lt;=R$4,$F7&gt;=R$4),1,"")</f>
        <v/>
      </c>
    </row>
    <row r="8" customFormat="false" ht="21.75" hidden="false" customHeight="true" outlineLevel="0" collapsed="false">
      <c r="A8" s="24" t="n">
        <f aca="false">WBS!A9</f>
        <v>4</v>
      </c>
      <c r="B8" s="25" t="str">
        <f aca="false">WBS!C9</f>
        <v>ICP model e customer journey</v>
      </c>
      <c r="C8" s="26" t="str">
        <f aca="false">WBS!D9</f>
        <v>Cliente</v>
      </c>
      <c r="D8" s="27" t="str">
        <f aca="false">WBS!F9</f>
        <v>2 · Workshop in parallelo</v>
      </c>
      <c r="E8" s="24" t="n">
        <f aca="false">WBS!G9</f>
        <v>3</v>
      </c>
      <c r="F8" s="24" t="n">
        <f aca="false">WBS!I9</f>
        <v>4</v>
      </c>
      <c r="G8" s="28" t="str">
        <f aca="false">IF(AND($E8&lt;&gt;"",$F8&lt;&gt;"",$E8&lt;=G$4,$F8&gt;=G$4),1,"")</f>
        <v/>
      </c>
      <c r="H8" s="28" t="str">
        <f aca="false">IF(AND($E8&lt;&gt;"",$F8&lt;&gt;"",$E8&lt;=H$4,$F8&gt;=H$4),1,"")</f>
        <v/>
      </c>
      <c r="I8" s="28" t="n">
        <f aca="false">IF(AND($E8&lt;&gt;"",$F8&lt;&gt;"",$E8&lt;=I$4,$F8&gt;=I$4),1,"")</f>
        <v>1</v>
      </c>
      <c r="J8" s="28" t="n">
        <f aca="false">IF(AND($E8&lt;&gt;"",$F8&lt;&gt;"",$E8&lt;=J$4,$F8&gt;=J$4),1,"")</f>
        <v>1</v>
      </c>
      <c r="K8" s="28" t="str">
        <f aca="false">IF(AND($E8&lt;&gt;"",$F8&lt;&gt;"",$E8&lt;=K$4,$F8&gt;=K$4),1,"")</f>
        <v/>
      </c>
      <c r="L8" s="28" t="str">
        <f aca="false">IF(AND($E8&lt;&gt;"",$F8&lt;&gt;"",$E8&lt;=L$4,$F8&gt;=L$4),1,"")</f>
        <v/>
      </c>
      <c r="M8" s="28" t="str">
        <f aca="false">IF(AND($E8&lt;&gt;"",$F8&lt;&gt;"",$E8&lt;=M$4,$F8&gt;=M$4),1,"")</f>
        <v/>
      </c>
      <c r="N8" s="28" t="str">
        <f aca="false">IF(AND($E8&lt;&gt;"",$F8&lt;&gt;"",$E8&lt;=N$4,$F8&gt;=N$4),1,"")</f>
        <v/>
      </c>
      <c r="O8" s="28" t="str">
        <f aca="false">IF(AND($E8&lt;&gt;"",$F8&lt;&gt;"",$E8&lt;=O$4,$F8&gt;=O$4),1,"")</f>
        <v/>
      </c>
      <c r="P8" s="28" t="str">
        <f aca="false">IF(AND($E8&lt;&gt;"",$F8&lt;&gt;"",$E8&lt;=P$4,$F8&gt;=P$4),1,"")</f>
        <v/>
      </c>
      <c r="Q8" s="28" t="str">
        <f aca="false">IF(AND($E8&lt;&gt;"",$F8&lt;&gt;"",$E8&lt;=Q$4,$F8&gt;=Q$4),1,"")</f>
        <v/>
      </c>
      <c r="R8" s="28" t="str">
        <f aca="false">IF(AND($E8&lt;&gt;"",$F8&lt;&gt;"",$E8&lt;=R$4,$F8&gt;=R$4),1,"")</f>
        <v/>
      </c>
    </row>
    <row r="9" customFormat="false" ht="21.75" hidden="false" customHeight="true" outlineLevel="0" collapsed="false">
      <c r="A9" s="24" t="n">
        <f aca="false">WBS!A10</f>
        <v>5</v>
      </c>
      <c r="B9" s="25" t="str">
        <f aca="false">WBS!C10</f>
        <v>Process design</v>
      </c>
      <c r="C9" s="26" t="str">
        <f aca="false">WBS!D10</f>
        <v>Cliente</v>
      </c>
      <c r="D9" s="27" t="str">
        <f aca="false">WBS!F10</f>
        <v>2 · Workshop in parallelo</v>
      </c>
      <c r="E9" s="24" t="n">
        <f aca="false">WBS!G10</f>
        <v>3</v>
      </c>
      <c r="F9" s="24" t="n">
        <f aca="false">WBS!I10</f>
        <v>4</v>
      </c>
      <c r="G9" s="28" t="str">
        <f aca="false">IF(AND($E9&lt;&gt;"",$F9&lt;&gt;"",$E9&lt;=G$4,$F9&gt;=G$4),1,"")</f>
        <v/>
      </c>
      <c r="H9" s="28" t="str">
        <f aca="false">IF(AND($E9&lt;&gt;"",$F9&lt;&gt;"",$E9&lt;=H$4,$F9&gt;=H$4),1,"")</f>
        <v/>
      </c>
      <c r="I9" s="28" t="n">
        <f aca="false">IF(AND($E9&lt;&gt;"",$F9&lt;&gt;"",$E9&lt;=I$4,$F9&gt;=I$4),1,"")</f>
        <v>1</v>
      </c>
      <c r="J9" s="28" t="n">
        <f aca="false">IF(AND($E9&lt;&gt;"",$F9&lt;&gt;"",$E9&lt;=J$4,$F9&gt;=J$4),1,"")</f>
        <v>1</v>
      </c>
      <c r="K9" s="28" t="str">
        <f aca="false">IF(AND($E9&lt;&gt;"",$F9&lt;&gt;"",$E9&lt;=K$4,$F9&gt;=K$4),1,"")</f>
        <v/>
      </c>
      <c r="L9" s="28" t="str">
        <f aca="false">IF(AND($E9&lt;&gt;"",$F9&lt;&gt;"",$E9&lt;=L$4,$F9&gt;=L$4),1,"")</f>
        <v/>
      </c>
      <c r="M9" s="28" t="str">
        <f aca="false">IF(AND($E9&lt;&gt;"",$F9&lt;&gt;"",$E9&lt;=M$4,$F9&gt;=M$4),1,"")</f>
        <v/>
      </c>
      <c r="N9" s="28" t="str">
        <f aca="false">IF(AND($E9&lt;&gt;"",$F9&lt;&gt;"",$E9&lt;=N$4,$F9&gt;=N$4),1,"")</f>
        <v/>
      </c>
      <c r="O9" s="28" t="str">
        <f aca="false">IF(AND($E9&lt;&gt;"",$F9&lt;&gt;"",$E9&lt;=O$4,$F9&gt;=O$4),1,"")</f>
        <v/>
      </c>
      <c r="P9" s="28" t="str">
        <f aca="false">IF(AND($E9&lt;&gt;"",$F9&lt;&gt;"",$E9&lt;=P$4,$F9&gt;=P$4),1,"")</f>
        <v/>
      </c>
      <c r="Q9" s="28" t="str">
        <f aca="false">IF(AND($E9&lt;&gt;"",$F9&lt;&gt;"",$E9&lt;=Q$4,$F9&gt;=Q$4),1,"")</f>
        <v/>
      </c>
      <c r="R9" s="28" t="str">
        <f aca="false">IF(AND($E9&lt;&gt;"",$F9&lt;&gt;"",$E9&lt;=R$4,$F9&gt;=R$4),1,"")</f>
        <v/>
      </c>
    </row>
    <row r="10" customFormat="false" ht="21.75" hidden="false" customHeight="true" outlineLevel="0" collapsed="false">
      <c r="A10" s="24" t="n">
        <f aca="false">WBS!A11</f>
        <v>6</v>
      </c>
      <c r="B10" s="25" t="str">
        <f aca="false">WBS!C11</f>
        <v>Tech stack</v>
      </c>
      <c r="C10" s="26" t="str">
        <f aca="false">WBS!D11</f>
        <v>Cliente</v>
      </c>
      <c r="D10" s="27" t="str">
        <f aca="false">WBS!F11</f>
        <v>2 · Workshop in parallelo</v>
      </c>
      <c r="E10" s="24" t="n">
        <f aca="false">WBS!G11</f>
        <v>3</v>
      </c>
      <c r="F10" s="24" t="n">
        <f aca="false">WBS!I11</f>
        <v>4</v>
      </c>
      <c r="G10" s="28" t="str">
        <f aca="false">IF(AND($E10&lt;&gt;"",$F10&lt;&gt;"",$E10&lt;=G$4,$F10&gt;=G$4),1,"")</f>
        <v/>
      </c>
      <c r="H10" s="28" t="str">
        <f aca="false">IF(AND($E10&lt;&gt;"",$F10&lt;&gt;"",$E10&lt;=H$4,$F10&gt;=H$4),1,"")</f>
        <v/>
      </c>
      <c r="I10" s="28" t="n">
        <f aca="false">IF(AND($E10&lt;&gt;"",$F10&lt;&gt;"",$E10&lt;=I$4,$F10&gt;=I$4),1,"")</f>
        <v>1</v>
      </c>
      <c r="J10" s="28" t="n">
        <f aca="false">IF(AND($E10&lt;&gt;"",$F10&lt;&gt;"",$E10&lt;=J$4,$F10&gt;=J$4),1,"")</f>
        <v>1</v>
      </c>
      <c r="K10" s="28" t="str">
        <f aca="false">IF(AND($E10&lt;&gt;"",$F10&lt;&gt;"",$E10&lt;=K$4,$F10&gt;=K$4),1,"")</f>
        <v/>
      </c>
      <c r="L10" s="28" t="str">
        <f aca="false">IF(AND($E10&lt;&gt;"",$F10&lt;&gt;"",$E10&lt;=L$4,$F10&gt;=L$4),1,"")</f>
        <v/>
      </c>
      <c r="M10" s="28" t="str">
        <f aca="false">IF(AND($E10&lt;&gt;"",$F10&lt;&gt;"",$E10&lt;=M$4,$F10&gt;=M$4),1,"")</f>
        <v/>
      </c>
      <c r="N10" s="28" t="str">
        <f aca="false">IF(AND($E10&lt;&gt;"",$F10&lt;&gt;"",$E10&lt;=N$4,$F10&gt;=N$4),1,"")</f>
        <v/>
      </c>
      <c r="O10" s="28" t="str">
        <f aca="false">IF(AND($E10&lt;&gt;"",$F10&lt;&gt;"",$E10&lt;=O$4,$F10&gt;=O$4),1,"")</f>
        <v/>
      </c>
      <c r="P10" s="28" t="str">
        <f aca="false">IF(AND($E10&lt;&gt;"",$F10&lt;&gt;"",$E10&lt;=P$4,$F10&gt;=P$4),1,"")</f>
        <v/>
      </c>
      <c r="Q10" s="28" t="str">
        <f aca="false">IF(AND($E10&lt;&gt;"",$F10&lt;&gt;"",$E10&lt;=Q$4,$F10&gt;=Q$4),1,"")</f>
        <v/>
      </c>
      <c r="R10" s="28" t="str">
        <f aca="false">IF(AND($E10&lt;&gt;"",$F10&lt;&gt;"",$E10&lt;=R$4,$F10&gt;=R$4),1,"")</f>
        <v/>
      </c>
    </row>
    <row r="11" customFormat="false" ht="21.75" hidden="false" customHeight="true" outlineLevel="0" collapsed="false">
      <c r="A11" s="24" t="n">
        <f aca="false">WBS!A12</f>
        <v>7</v>
      </c>
      <c r="B11" s="25" t="str">
        <f aca="false">WBS!C12</f>
        <v>Data model</v>
      </c>
      <c r="C11" s="26" t="str">
        <f aca="false">WBS!D12</f>
        <v>Cliente</v>
      </c>
      <c r="D11" s="27" t="str">
        <f aca="false">WBS!F12</f>
        <v>2 · Workshop in parallelo</v>
      </c>
      <c r="E11" s="24" t="n">
        <f aca="false">WBS!G12</f>
        <v>3</v>
      </c>
      <c r="F11" s="24" t="n">
        <f aca="false">WBS!I12</f>
        <v>4</v>
      </c>
      <c r="G11" s="28" t="str">
        <f aca="false">IF(AND($E11&lt;&gt;"",$F11&lt;&gt;"",$E11&lt;=G$4,$F11&gt;=G$4),1,"")</f>
        <v/>
      </c>
      <c r="H11" s="28" t="str">
        <f aca="false">IF(AND($E11&lt;&gt;"",$F11&lt;&gt;"",$E11&lt;=H$4,$F11&gt;=H$4),1,"")</f>
        <v/>
      </c>
      <c r="I11" s="28" t="n">
        <f aca="false">IF(AND($E11&lt;&gt;"",$F11&lt;&gt;"",$E11&lt;=I$4,$F11&gt;=I$4),1,"")</f>
        <v>1</v>
      </c>
      <c r="J11" s="28" t="n">
        <f aca="false">IF(AND($E11&lt;&gt;"",$F11&lt;&gt;"",$E11&lt;=J$4,$F11&gt;=J$4),1,"")</f>
        <v>1</v>
      </c>
      <c r="K11" s="28" t="str">
        <f aca="false">IF(AND($E11&lt;&gt;"",$F11&lt;&gt;"",$E11&lt;=K$4,$F11&gt;=K$4),1,"")</f>
        <v/>
      </c>
      <c r="L11" s="28" t="str">
        <f aca="false">IF(AND($E11&lt;&gt;"",$F11&lt;&gt;"",$E11&lt;=L$4,$F11&gt;=L$4),1,"")</f>
        <v/>
      </c>
      <c r="M11" s="28" t="str">
        <f aca="false">IF(AND($E11&lt;&gt;"",$F11&lt;&gt;"",$E11&lt;=M$4,$F11&gt;=M$4),1,"")</f>
        <v/>
      </c>
      <c r="N11" s="28" t="str">
        <f aca="false">IF(AND($E11&lt;&gt;"",$F11&lt;&gt;"",$E11&lt;=N$4,$F11&gt;=N$4),1,"")</f>
        <v/>
      </c>
      <c r="O11" s="28" t="str">
        <f aca="false">IF(AND($E11&lt;&gt;"",$F11&lt;&gt;"",$E11&lt;=O$4,$F11&gt;=O$4),1,"")</f>
        <v/>
      </c>
      <c r="P11" s="28" t="str">
        <f aca="false">IF(AND($E11&lt;&gt;"",$F11&lt;&gt;"",$E11&lt;=P$4,$F11&gt;=P$4),1,"")</f>
        <v/>
      </c>
      <c r="Q11" s="28" t="str">
        <f aca="false">IF(AND($E11&lt;&gt;"",$F11&lt;&gt;"",$E11&lt;=Q$4,$F11&gt;=Q$4),1,"")</f>
        <v/>
      </c>
      <c r="R11" s="28" t="str">
        <f aca="false">IF(AND($E11&lt;&gt;"",$F11&lt;&gt;"",$E11&lt;=R$4,$F11&gt;=R$4),1,"")</f>
        <v/>
      </c>
    </row>
    <row r="12" customFormat="false" ht="21.75" hidden="false" customHeight="true" outlineLevel="0" collapsed="false">
      <c r="A12" s="24" t="n">
        <f aca="false">WBS!A13</f>
        <v>8</v>
      </c>
      <c r="B12" s="25" t="str">
        <f aca="false">WBS!C13</f>
        <v>Interviste qualitative</v>
      </c>
      <c r="C12" s="26" t="str">
        <f aca="false">WBS!D13</f>
        <v>Cliente</v>
      </c>
      <c r="D12" s="27" t="str">
        <f aca="false">WBS!F13</f>
        <v>3 · Approfondimento</v>
      </c>
      <c r="E12" s="24" t="n">
        <f aca="false">WBS!G13</f>
        <v>5</v>
      </c>
      <c r="F12" s="24" t="n">
        <f aca="false">WBS!I13</f>
        <v>5</v>
      </c>
      <c r="G12" s="28" t="str">
        <f aca="false">IF(AND($E12&lt;&gt;"",$F12&lt;&gt;"",$E12&lt;=G$4,$F12&gt;=G$4),1,"")</f>
        <v/>
      </c>
      <c r="H12" s="28" t="str">
        <f aca="false">IF(AND($E12&lt;&gt;"",$F12&lt;&gt;"",$E12&lt;=H$4,$F12&gt;=H$4),1,"")</f>
        <v/>
      </c>
      <c r="I12" s="28" t="str">
        <f aca="false">IF(AND($E12&lt;&gt;"",$F12&lt;&gt;"",$E12&lt;=I$4,$F12&gt;=I$4),1,"")</f>
        <v/>
      </c>
      <c r="J12" s="28" t="str">
        <f aca="false">IF(AND($E12&lt;&gt;"",$F12&lt;&gt;"",$E12&lt;=J$4,$F12&gt;=J$4),1,"")</f>
        <v/>
      </c>
      <c r="K12" s="28" t="n">
        <f aca="false">IF(AND($E12&lt;&gt;"",$F12&lt;&gt;"",$E12&lt;=K$4,$F12&gt;=K$4),1,"")</f>
        <v>1</v>
      </c>
      <c r="L12" s="28" t="str">
        <f aca="false">IF(AND($E12&lt;&gt;"",$F12&lt;&gt;"",$E12&lt;=L$4,$F12&gt;=L$4),1,"")</f>
        <v/>
      </c>
      <c r="M12" s="28" t="str">
        <f aca="false">IF(AND($E12&lt;&gt;"",$F12&lt;&gt;"",$E12&lt;=M$4,$F12&gt;=M$4),1,"")</f>
        <v/>
      </c>
      <c r="N12" s="28" t="str">
        <f aca="false">IF(AND($E12&lt;&gt;"",$F12&lt;&gt;"",$E12&lt;=N$4,$F12&gt;=N$4),1,"")</f>
        <v/>
      </c>
      <c r="O12" s="28" t="str">
        <f aca="false">IF(AND($E12&lt;&gt;"",$F12&lt;&gt;"",$E12&lt;=O$4,$F12&gt;=O$4),1,"")</f>
        <v/>
      </c>
      <c r="P12" s="28" t="str">
        <f aca="false">IF(AND($E12&lt;&gt;"",$F12&lt;&gt;"",$E12&lt;=P$4,$F12&gt;=P$4),1,"")</f>
        <v/>
      </c>
      <c r="Q12" s="28" t="str">
        <f aca="false">IF(AND($E12&lt;&gt;"",$F12&lt;&gt;"",$E12&lt;=Q$4,$F12&gt;=Q$4),1,"")</f>
        <v/>
      </c>
      <c r="R12" s="28" t="str">
        <f aca="false">IF(AND($E12&lt;&gt;"",$F12&lt;&gt;"",$E12&lt;=R$4,$F12&gt;=R$4),1,"")</f>
        <v/>
      </c>
    </row>
    <row r="13" customFormat="false" ht="21.75" hidden="false" customHeight="true" outlineLevel="0" collapsed="false">
      <c r="A13" s="24" t="n">
        <f aca="false">WBS!A14</f>
        <v>9</v>
      </c>
      <c r="B13" s="25" t="str">
        <f aca="false">WBS!C14</f>
        <v>Sintesi evidenze e business case</v>
      </c>
      <c r="C13" s="26" t="str">
        <f aca="false">WBS!D14</f>
        <v>Interna</v>
      </c>
      <c r="D13" s="27" t="str">
        <f aca="false">WBS!F14</f>
        <v>4 · Sintesi e validazione</v>
      </c>
      <c r="E13" s="24" t="n">
        <f aca="false">WBS!G14</f>
        <v>6</v>
      </c>
      <c r="F13" s="24" t="n">
        <f aca="false">WBS!I14</f>
        <v>6</v>
      </c>
      <c r="G13" s="28" t="str">
        <f aca="false">IF(AND($E13&lt;&gt;"",$F13&lt;&gt;"",$E13&lt;=G$4,$F13&gt;=G$4),1,"")</f>
        <v/>
      </c>
      <c r="H13" s="28" t="str">
        <f aca="false">IF(AND($E13&lt;&gt;"",$F13&lt;&gt;"",$E13&lt;=H$4,$F13&gt;=H$4),1,"")</f>
        <v/>
      </c>
      <c r="I13" s="28" t="str">
        <f aca="false">IF(AND($E13&lt;&gt;"",$F13&lt;&gt;"",$E13&lt;=I$4,$F13&gt;=I$4),1,"")</f>
        <v/>
      </c>
      <c r="J13" s="28" t="str">
        <f aca="false">IF(AND($E13&lt;&gt;"",$F13&lt;&gt;"",$E13&lt;=J$4,$F13&gt;=J$4),1,"")</f>
        <v/>
      </c>
      <c r="K13" s="28" t="str">
        <f aca="false">IF(AND($E13&lt;&gt;"",$F13&lt;&gt;"",$E13&lt;=K$4,$F13&gt;=K$4),1,"")</f>
        <v/>
      </c>
      <c r="L13" s="28" t="n">
        <f aca="false">IF(AND($E13&lt;&gt;"",$F13&lt;&gt;"",$E13&lt;=L$4,$F13&gt;=L$4),1,"")</f>
        <v>1</v>
      </c>
      <c r="M13" s="28" t="str">
        <f aca="false">IF(AND($E13&lt;&gt;"",$F13&lt;&gt;"",$E13&lt;=M$4,$F13&gt;=M$4),1,"")</f>
        <v/>
      </c>
      <c r="N13" s="28" t="str">
        <f aca="false">IF(AND($E13&lt;&gt;"",$F13&lt;&gt;"",$E13&lt;=N$4,$F13&gt;=N$4),1,"")</f>
        <v/>
      </c>
      <c r="O13" s="28" t="str">
        <f aca="false">IF(AND($E13&lt;&gt;"",$F13&lt;&gt;"",$E13&lt;=O$4,$F13&gt;=O$4),1,"")</f>
        <v/>
      </c>
      <c r="P13" s="28" t="str">
        <f aca="false">IF(AND($E13&lt;&gt;"",$F13&lt;&gt;"",$E13&lt;=P$4,$F13&gt;=P$4),1,"")</f>
        <v/>
      </c>
      <c r="Q13" s="28" t="str">
        <f aca="false">IF(AND($E13&lt;&gt;"",$F13&lt;&gt;"",$E13&lt;=Q$4,$F13&gt;=Q$4),1,"")</f>
        <v/>
      </c>
      <c r="R13" s="28" t="str">
        <f aca="false">IF(AND($E13&lt;&gt;"",$F13&lt;&gt;"",$E13&lt;=R$4,$F13&gt;=R$4),1,"")</f>
        <v/>
      </c>
    </row>
    <row r="14" customFormat="false" ht="21.75" hidden="false" customHeight="true" outlineLevel="0" collapsed="false">
      <c r="A14" s="24" t="n">
        <f aca="false">WBS!A15</f>
        <v>10</v>
      </c>
      <c r="B14" s="25" t="str">
        <f aca="false">WBS!C15</f>
        <v>Review con il cliente</v>
      </c>
      <c r="C14" s="26" t="str">
        <f aca="false">WBS!D15</f>
        <v>Cliente</v>
      </c>
      <c r="D14" s="27" t="str">
        <f aca="false">WBS!F15</f>
        <v>4 · Sintesi e validazione</v>
      </c>
      <c r="E14" s="24" t="n">
        <f aca="false">WBS!G15</f>
        <v>7</v>
      </c>
      <c r="F14" s="24" t="n">
        <f aca="false">WBS!I15</f>
        <v>7</v>
      </c>
      <c r="G14" s="28" t="str">
        <f aca="false">IF(AND($E14&lt;&gt;"",$F14&lt;&gt;"",$E14&lt;=G$4,$F14&gt;=G$4),1,"")</f>
        <v/>
      </c>
      <c r="H14" s="28" t="str">
        <f aca="false">IF(AND($E14&lt;&gt;"",$F14&lt;&gt;"",$E14&lt;=H$4,$F14&gt;=H$4),1,"")</f>
        <v/>
      </c>
      <c r="I14" s="28" t="str">
        <f aca="false">IF(AND($E14&lt;&gt;"",$F14&lt;&gt;"",$E14&lt;=I$4,$F14&gt;=I$4),1,"")</f>
        <v/>
      </c>
      <c r="J14" s="28" t="str">
        <f aca="false">IF(AND($E14&lt;&gt;"",$F14&lt;&gt;"",$E14&lt;=J$4,$F14&gt;=J$4),1,"")</f>
        <v/>
      </c>
      <c r="K14" s="28" t="str">
        <f aca="false">IF(AND($E14&lt;&gt;"",$F14&lt;&gt;"",$E14&lt;=K$4,$F14&gt;=K$4),1,"")</f>
        <v/>
      </c>
      <c r="L14" s="28" t="str">
        <f aca="false">IF(AND($E14&lt;&gt;"",$F14&lt;&gt;"",$E14&lt;=L$4,$F14&gt;=L$4),1,"")</f>
        <v/>
      </c>
      <c r="M14" s="28" t="n">
        <f aca="false">IF(AND($E14&lt;&gt;"",$F14&lt;&gt;"",$E14&lt;=M$4,$F14&gt;=M$4),1,"")</f>
        <v>1</v>
      </c>
      <c r="N14" s="28" t="str">
        <f aca="false">IF(AND($E14&lt;&gt;"",$F14&lt;&gt;"",$E14&lt;=N$4,$F14&gt;=N$4),1,"")</f>
        <v/>
      </c>
      <c r="O14" s="28" t="str">
        <f aca="false">IF(AND($E14&lt;&gt;"",$F14&lt;&gt;"",$E14&lt;=O$4,$F14&gt;=O$4),1,"")</f>
        <v/>
      </c>
      <c r="P14" s="28" t="str">
        <f aca="false">IF(AND($E14&lt;&gt;"",$F14&lt;&gt;"",$E14&lt;=P$4,$F14&gt;=P$4),1,"")</f>
        <v/>
      </c>
      <c r="Q14" s="28" t="str">
        <f aca="false">IF(AND($E14&lt;&gt;"",$F14&lt;&gt;"",$E14&lt;=Q$4,$F14&gt;=Q$4),1,"")</f>
        <v/>
      </c>
      <c r="R14" s="28" t="str">
        <f aca="false">IF(AND($E14&lt;&gt;"",$F14&lt;&gt;"",$E14&lt;=R$4,$F14&gt;=R$4),1,"")</f>
        <v/>
      </c>
    </row>
    <row r="15" customFormat="false" ht="21.75" hidden="false" customHeight="true" outlineLevel="0" collapsed="false">
      <c r="A15" s="24" t="n">
        <f aca="false">WBS!A16</f>
        <v>11</v>
      </c>
      <c r="B15" s="25" t="str">
        <f aca="false">WBS!C16</f>
        <v>Consolidamento report finale</v>
      </c>
      <c r="C15" s="26" t="str">
        <f aca="false">WBS!D16</f>
        <v>Interna</v>
      </c>
      <c r="D15" s="27" t="str">
        <f aca="false">WBS!F16</f>
        <v>5 · Chiusura</v>
      </c>
      <c r="E15" s="24" t="n">
        <f aca="false">WBS!G16</f>
        <v>8</v>
      </c>
      <c r="F15" s="24" t="n">
        <f aca="false">WBS!I16</f>
        <v>9</v>
      </c>
      <c r="G15" s="28" t="str">
        <f aca="false">IF(AND($E15&lt;&gt;"",$F15&lt;&gt;"",$E15&lt;=G$4,$F15&gt;=G$4),1,"")</f>
        <v/>
      </c>
      <c r="H15" s="28" t="str">
        <f aca="false">IF(AND($E15&lt;&gt;"",$F15&lt;&gt;"",$E15&lt;=H$4,$F15&gt;=H$4),1,"")</f>
        <v/>
      </c>
      <c r="I15" s="28" t="str">
        <f aca="false">IF(AND($E15&lt;&gt;"",$F15&lt;&gt;"",$E15&lt;=I$4,$F15&gt;=I$4),1,"")</f>
        <v/>
      </c>
      <c r="J15" s="28" t="str">
        <f aca="false">IF(AND($E15&lt;&gt;"",$F15&lt;&gt;"",$E15&lt;=J$4,$F15&gt;=J$4),1,"")</f>
        <v/>
      </c>
      <c r="K15" s="28" t="str">
        <f aca="false">IF(AND($E15&lt;&gt;"",$F15&lt;&gt;"",$E15&lt;=K$4,$F15&gt;=K$4),1,"")</f>
        <v/>
      </c>
      <c r="L15" s="28" t="str">
        <f aca="false">IF(AND($E15&lt;&gt;"",$F15&lt;&gt;"",$E15&lt;=L$4,$F15&gt;=L$4),1,"")</f>
        <v/>
      </c>
      <c r="M15" s="28" t="str">
        <f aca="false">IF(AND($E15&lt;&gt;"",$F15&lt;&gt;"",$E15&lt;=M$4,$F15&gt;=M$4),1,"")</f>
        <v/>
      </c>
      <c r="N15" s="28" t="n">
        <f aca="false">IF(AND($E15&lt;&gt;"",$F15&lt;&gt;"",$E15&lt;=N$4,$F15&gt;=N$4),1,"")</f>
        <v>1</v>
      </c>
      <c r="O15" s="28" t="n">
        <f aca="false">IF(AND($E15&lt;&gt;"",$F15&lt;&gt;"",$E15&lt;=O$4,$F15&gt;=O$4),1,"")</f>
        <v>1</v>
      </c>
      <c r="P15" s="28" t="str">
        <f aca="false">IF(AND($E15&lt;&gt;"",$F15&lt;&gt;"",$E15&lt;=P$4,$F15&gt;=P$4),1,"")</f>
        <v/>
      </c>
      <c r="Q15" s="28" t="str">
        <f aca="false">IF(AND($E15&lt;&gt;"",$F15&lt;&gt;"",$E15&lt;=Q$4,$F15&gt;=Q$4),1,"")</f>
        <v/>
      </c>
      <c r="R15" s="28" t="str">
        <f aca="false">IF(AND($E15&lt;&gt;"",$F15&lt;&gt;"",$E15&lt;=R$4,$F15&gt;=R$4),1,"")</f>
        <v/>
      </c>
    </row>
    <row r="16" customFormat="false" ht="21.75" hidden="false" customHeight="true" outlineLevel="0" collapsed="false">
      <c r="A16" s="24" t="n">
        <f aca="false">WBS!A17</f>
        <v>12</v>
      </c>
      <c r="B16" s="25" t="str">
        <f aca="false">WBS!C17</f>
        <v>Presentazione assessment</v>
      </c>
      <c r="C16" s="26" t="str">
        <f aca="false">WBS!D17</f>
        <v>Cliente</v>
      </c>
      <c r="D16" s="27" t="str">
        <f aca="false">WBS!F17</f>
        <v>5 · Chiusura</v>
      </c>
      <c r="E16" s="24" t="n">
        <f aca="false">WBS!G17</f>
        <v>10</v>
      </c>
      <c r="F16" s="24" t="n">
        <f aca="false">WBS!I17</f>
        <v>10</v>
      </c>
      <c r="G16" s="28" t="str">
        <f aca="false">IF(AND($E16&lt;&gt;"",$F16&lt;&gt;"",$E16&lt;=G$4,$F16&gt;=G$4),1,"")</f>
        <v/>
      </c>
      <c r="H16" s="28" t="str">
        <f aca="false">IF(AND($E16&lt;&gt;"",$F16&lt;&gt;"",$E16&lt;=H$4,$F16&gt;=H$4),1,"")</f>
        <v/>
      </c>
      <c r="I16" s="28" t="str">
        <f aca="false">IF(AND($E16&lt;&gt;"",$F16&lt;&gt;"",$E16&lt;=I$4,$F16&gt;=I$4),1,"")</f>
        <v/>
      </c>
      <c r="J16" s="28" t="str">
        <f aca="false">IF(AND($E16&lt;&gt;"",$F16&lt;&gt;"",$E16&lt;=J$4,$F16&gt;=J$4),1,"")</f>
        <v/>
      </c>
      <c r="K16" s="28" t="str">
        <f aca="false">IF(AND($E16&lt;&gt;"",$F16&lt;&gt;"",$E16&lt;=K$4,$F16&gt;=K$4),1,"")</f>
        <v/>
      </c>
      <c r="L16" s="28" t="str">
        <f aca="false">IF(AND($E16&lt;&gt;"",$F16&lt;&gt;"",$E16&lt;=L$4,$F16&gt;=L$4),1,"")</f>
        <v/>
      </c>
      <c r="M16" s="28" t="str">
        <f aca="false">IF(AND($E16&lt;&gt;"",$F16&lt;&gt;"",$E16&lt;=M$4,$F16&gt;=M$4),1,"")</f>
        <v/>
      </c>
      <c r="N16" s="28" t="str">
        <f aca="false">IF(AND($E16&lt;&gt;"",$F16&lt;&gt;"",$E16&lt;=N$4,$F16&gt;=N$4),1,"")</f>
        <v/>
      </c>
      <c r="O16" s="28" t="str">
        <f aca="false">IF(AND($E16&lt;&gt;"",$F16&lt;&gt;"",$E16&lt;=O$4,$F16&gt;=O$4),1,"")</f>
        <v/>
      </c>
      <c r="P16" s="28" t="n">
        <f aca="false">IF(AND($E16&lt;&gt;"",$F16&lt;&gt;"",$E16&lt;=P$4,$F16&gt;=P$4),1,"")</f>
        <v>1</v>
      </c>
      <c r="Q16" s="28" t="str">
        <f aca="false">IF(AND($E16&lt;&gt;"",$F16&lt;&gt;"",$E16&lt;=Q$4,$F16&gt;=Q$4),1,"")</f>
        <v/>
      </c>
      <c r="R16" s="28" t="str">
        <f aca="false">IF(AND($E16&lt;&gt;"",$F16&lt;&gt;"",$E16&lt;=R$4,$F16&gt;=R$4),1,"")</f>
        <v/>
      </c>
    </row>
    <row r="17" customFormat="false" ht="21.75" hidden="false" customHeight="true" outlineLevel="0" collapsed="false">
      <c r="A17" s="29" t="s">
        <v>156</v>
      </c>
      <c r="B17" s="29"/>
      <c r="C17" s="29"/>
      <c r="D17" s="29"/>
      <c r="E17" s="29"/>
      <c r="F17" s="29"/>
      <c r="G17" s="30" t="n">
        <f aca="false">COUNT(G5:G16)</f>
        <v>1</v>
      </c>
      <c r="H17" s="30" t="n">
        <f aca="false">COUNT(H5:H16)</f>
        <v>1</v>
      </c>
      <c r="I17" s="30" t="n">
        <f aca="false">COUNT(I5:I16)</f>
        <v>5</v>
      </c>
      <c r="J17" s="30" t="n">
        <f aca="false">COUNT(J5:J16)</f>
        <v>5</v>
      </c>
      <c r="K17" s="30" t="n">
        <f aca="false">COUNT(K5:K16)</f>
        <v>1</v>
      </c>
      <c r="L17" s="30" t="n">
        <f aca="false">COUNT(L5:L16)</f>
        <v>1</v>
      </c>
      <c r="M17" s="30" t="n">
        <f aca="false">COUNT(M5:M16)</f>
        <v>1</v>
      </c>
      <c r="N17" s="30" t="n">
        <f aca="false">COUNT(N5:N16)</f>
        <v>1</v>
      </c>
      <c r="O17" s="30" t="n">
        <f aca="false">COUNT(O5:O16)</f>
        <v>1</v>
      </c>
      <c r="P17" s="30" t="n">
        <f aca="false">COUNT(P5:P16)</f>
        <v>1</v>
      </c>
      <c r="Q17" s="30" t="n">
        <f aca="false">COUNT(Q5:Q16)</f>
        <v>0</v>
      </c>
      <c r="R17" s="30" t="n">
        <f aca="false">COUNT(R5:R16)</f>
        <v>0</v>
      </c>
    </row>
    <row r="19" customFormat="false" ht="15" hidden="false" customHeight="false" outlineLevel="0" collapsed="false">
      <c r="A19" s="31" t="s">
        <v>157</v>
      </c>
      <c r="B19" s="31"/>
      <c r="C19" s="31"/>
      <c r="D19" s="31"/>
      <c r="E19" s="31"/>
      <c r="F19" s="32" t="n">
        <f aca="false">COUNTIF(G17:R17,"&gt;1")</f>
        <v>2</v>
      </c>
    </row>
    <row r="20" customFormat="false" ht="15" hidden="false" customHeight="false" outlineLevel="0" collapsed="false">
      <c r="A20" s="31" t="s">
        <v>158</v>
      </c>
      <c r="B20" s="31"/>
      <c r="C20" s="31"/>
      <c r="D20" s="31"/>
      <c r="E20" s="31"/>
      <c r="F20" s="32" t="n">
        <f aca="false">MAX(G17:R17)</f>
        <v>5</v>
      </c>
    </row>
  </sheetData>
  <mergeCells count="5">
    <mergeCell ref="A1:R1"/>
    <mergeCell ref="A2:R2"/>
    <mergeCell ref="A17:F17"/>
    <mergeCell ref="A19:E19"/>
    <mergeCell ref="A20:E20"/>
  </mergeCells>
  <conditionalFormatting sqref="G5:R16">
    <cfRule type="expression" priority="2" aboveAverage="0" equalAverage="0" bottom="0" percent="0" rank="0" text="" dxfId="8">
      <formula>AND(ISNUMBER(SEARCH("parallelo",$D5)),G5=1)</formula>
    </cfRule>
    <cfRule type="expression" priority="3" aboveAverage="0" equalAverage="0" bottom="0" percent="0" rank="0" text="" dxfId="9">
      <formula>AND($C5="Interna",G5=1)</formula>
    </cfRule>
    <cfRule type="expression" priority="4" aboveAverage="0" equalAverage="0" bottom="0" percent="0" rank="0" text="" dxfId="10">
      <formula>G5=1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62"/>
  </cols>
  <sheetData>
    <row r="1" customFormat="false" ht="25.5" hidden="false" customHeight="true" outlineLevel="0" collapsed="false">
      <c r="A1" s="1" t="s">
        <v>159</v>
      </c>
      <c r="B1" s="1"/>
      <c r="C1" s="1"/>
      <c r="D1" s="1"/>
      <c r="E1" s="1"/>
    </row>
    <row r="2" customFormat="false" ht="18" hidden="false" customHeight="true" outlineLevel="0" collapsed="false">
      <c r="A2" s="33" t="s">
        <v>160</v>
      </c>
      <c r="B2" s="33"/>
      <c r="C2" s="33"/>
      <c r="D2" s="33"/>
      <c r="E2" s="33"/>
    </row>
    <row r="4" customFormat="false" ht="19.5" hidden="false" customHeight="true" outlineLevel="0" collapsed="false">
      <c r="A4" s="34" t="s">
        <v>161</v>
      </c>
      <c r="B4" s="34"/>
      <c r="C4" s="34"/>
      <c r="D4" s="34"/>
      <c r="E4" s="34"/>
    </row>
    <row r="5" customFormat="false" ht="15" hidden="false" customHeight="false" outlineLevel="0" collapsed="false">
      <c r="A5" s="35" t="s">
        <v>162</v>
      </c>
      <c r="C5" s="36" t="n">
        <f aca="false">WBS!S18</f>
        <v>0</v>
      </c>
      <c r="D5" s="37" t="s">
        <v>163</v>
      </c>
      <c r="E5" s="38"/>
    </row>
    <row r="6" customFormat="false" ht="15" hidden="false" customHeight="false" outlineLevel="0" collapsed="false">
      <c r="A6" s="35" t="s">
        <v>164</v>
      </c>
      <c r="C6" s="36" t="n">
        <f aca="false">WBS!T18</f>
        <v>0</v>
      </c>
      <c r="D6" s="37" t="s">
        <v>163</v>
      </c>
      <c r="E6" s="38"/>
    </row>
    <row r="7" customFormat="false" ht="15" hidden="false" customHeight="false" outlineLevel="0" collapsed="false">
      <c r="A7" s="35" t="s">
        <v>165</v>
      </c>
      <c r="C7" s="36" t="n">
        <f aca="false">WBS!U18</f>
        <v>0</v>
      </c>
      <c r="D7" s="37" t="s">
        <v>163</v>
      </c>
      <c r="E7" s="38" t="s">
        <v>166</v>
      </c>
    </row>
    <row r="8" customFormat="false" ht="15" hidden="false" customHeight="false" outlineLevel="0" collapsed="false">
      <c r="A8" s="39" t="s">
        <v>167</v>
      </c>
      <c r="C8" s="40" t="n">
        <f aca="false">WBS!W18</f>
        <v>0</v>
      </c>
      <c r="D8" s="37" t="s">
        <v>163</v>
      </c>
      <c r="E8" s="38"/>
    </row>
    <row r="9" customFormat="false" ht="15" hidden="false" customHeight="false" outlineLevel="0" collapsed="false">
      <c r="A9" s="39" t="s">
        <v>168</v>
      </c>
      <c r="C9" s="40" t="n">
        <f aca="false">WBS!X18</f>
        <v>0</v>
      </c>
      <c r="D9" s="37" t="s">
        <v>169</v>
      </c>
      <c r="E9" s="38" t="s">
        <v>170</v>
      </c>
    </row>
    <row r="10" customFormat="false" ht="15" hidden="false" customHeight="false" outlineLevel="0" collapsed="false">
      <c r="A10" s="39" t="s">
        <v>171</v>
      </c>
      <c r="C10" s="41" t="n">
        <f aca="false">WBS!Y18</f>
        <v>0</v>
      </c>
      <c r="D10" s="37" t="s">
        <v>172</v>
      </c>
      <c r="E10" s="38"/>
    </row>
    <row r="12" customFormat="false" ht="19.5" hidden="false" customHeight="true" outlineLevel="0" collapsed="false">
      <c r="A12" s="34" t="s">
        <v>173</v>
      </c>
      <c r="B12" s="34"/>
      <c r="C12" s="34"/>
      <c r="D12" s="34"/>
      <c r="E12" s="34"/>
    </row>
    <row r="13" customFormat="false" ht="15" hidden="false" customHeight="false" outlineLevel="0" collapsed="false">
      <c r="A13" s="35" t="s">
        <v>174</v>
      </c>
      <c r="C13" s="42" t="n">
        <f aca="false">WBS!S18*Parametri!$C$5*Parametri!$C$6</f>
        <v>0</v>
      </c>
      <c r="D13" s="37" t="s">
        <v>172</v>
      </c>
      <c r="E13" s="38"/>
    </row>
    <row r="14" customFormat="false" ht="15" hidden="false" customHeight="false" outlineLevel="0" collapsed="false">
      <c r="A14" s="35" t="s">
        <v>175</v>
      </c>
      <c r="C14" s="42" t="n">
        <f aca="false">WBS!T18*Parametri!$C$5*Parametri!$C$7</f>
        <v>0</v>
      </c>
      <c r="D14" s="37" t="s">
        <v>172</v>
      </c>
      <c r="E14" s="38"/>
    </row>
    <row r="15" customFormat="false" ht="15" hidden="false" customHeight="false" outlineLevel="0" collapsed="false">
      <c r="A15" s="35" t="s">
        <v>176</v>
      </c>
      <c r="C15" s="42" t="n">
        <f aca="false">WBS!U18*Parametri!$C$5*Parametri!$C$8</f>
        <v>0</v>
      </c>
      <c r="D15" s="37" t="s">
        <v>172</v>
      </c>
      <c r="E15" s="38"/>
    </row>
    <row r="16" customFormat="false" ht="15" hidden="false" customHeight="false" outlineLevel="0" collapsed="false">
      <c r="A16" s="39" t="s">
        <v>177</v>
      </c>
      <c r="C16" s="41" t="n">
        <f aca="false">SUM(C13:C15)</f>
        <v>0</v>
      </c>
      <c r="D16" s="37" t="s">
        <v>172</v>
      </c>
      <c r="E16" s="38" t="s">
        <v>178</v>
      </c>
    </row>
    <row r="18" customFormat="false" ht="19.5" hidden="false" customHeight="true" outlineLevel="0" collapsed="false">
      <c r="A18" s="34" t="s">
        <v>179</v>
      </c>
      <c r="B18" s="34"/>
      <c r="C18" s="34"/>
      <c r="D18" s="34"/>
      <c r="E18" s="34"/>
    </row>
    <row r="19" customFormat="false" ht="15" hidden="false" customHeight="false" outlineLevel="0" collapsed="false">
      <c r="A19" s="35" t="s">
        <v>180</v>
      </c>
      <c r="C19" s="36" t="n">
        <f aca="false">SUMIF(WBS!$D$6:$D$17,"Cliente",WBS!$W$6:$W$17)</f>
        <v>0</v>
      </c>
      <c r="D19" s="37" t="s">
        <v>163</v>
      </c>
      <c r="E19" s="38"/>
    </row>
    <row r="20" customFormat="false" ht="15" hidden="false" customHeight="false" outlineLevel="0" collapsed="false">
      <c r="A20" s="35" t="s">
        <v>181</v>
      </c>
      <c r="C20" s="36" t="n">
        <f aca="false">SUMIF(WBS!$D$6:$D$17,"Interna",WBS!$W$6:$W$17)</f>
        <v>0</v>
      </c>
      <c r="D20" s="37" t="s">
        <v>163</v>
      </c>
      <c r="E20" s="38"/>
    </row>
    <row r="21" customFormat="false" ht="15" hidden="false" customHeight="false" outlineLevel="0" collapsed="false">
      <c r="A21" s="35" t="s">
        <v>182</v>
      </c>
      <c r="C21" s="42" t="n">
        <f aca="false">SUMIF(WBS!$D$6:$D$17,"Cliente",WBS!$Y$6:$Y$17)</f>
        <v>0</v>
      </c>
      <c r="D21" s="37" t="s">
        <v>172</v>
      </c>
      <c r="E21" s="38"/>
    </row>
    <row r="22" customFormat="false" ht="15" hidden="false" customHeight="false" outlineLevel="0" collapsed="false">
      <c r="A22" s="35" t="s">
        <v>183</v>
      </c>
      <c r="C22" s="42" t="n">
        <f aca="false">SUMIF(WBS!$D$6:$D$17,"Interna",WBS!$Y$6:$Y$17)</f>
        <v>0</v>
      </c>
      <c r="D22" s="37" t="s">
        <v>172</v>
      </c>
      <c r="E22" s="38"/>
    </row>
    <row r="23" customFormat="false" ht="15" hidden="false" customHeight="false" outlineLevel="0" collapsed="false">
      <c r="A23" s="35" t="s">
        <v>184</v>
      </c>
      <c r="C23" s="43" t="n">
        <f aca="false">SUMIF(WBS!$D$6:$D$17,"Cliente",WBS!$Q$6:$Q$17)</f>
        <v>8</v>
      </c>
      <c r="D23" s="37" t="s">
        <v>185</v>
      </c>
      <c r="E23" s="38"/>
    </row>
    <row r="24" customFormat="false" ht="15" hidden="false" customHeight="false" outlineLevel="0" collapsed="false">
      <c r="A24" s="35" t="s">
        <v>186</v>
      </c>
      <c r="C24" s="44" t="str">
        <f aca="false">COUNTIF(WBS!$D$6:$D$17,"Cliente")&amp;" / "&amp;COUNTIF(WBS!$D$6:$D$17,"Interna")</f>
        <v>9 / 3</v>
      </c>
      <c r="D24" s="37"/>
      <c r="E24" s="38"/>
    </row>
    <row r="26" customFormat="false" ht="19.5" hidden="false" customHeight="true" outlineLevel="0" collapsed="false">
      <c r="A26" s="34" t="s">
        <v>187</v>
      </c>
      <c r="B26" s="34"/>
      <c r="C26" s="34"/>
      <c r="D26" s="34"/>
      <c r="E26" s="34"/>
    </row>
    <row r="27" customFormat="false" ht="15" hidden="false" customHeight="false" outlineLevel="0" collapsed="false">
      <c r="A27" s="35" t="s">
        <v>188</v>
      </c>
      <c r="C27" s="43" t="n">
        <f aca="false">SUM(WBS!H6:H17)</f>
        <v>18</v>
      </c>
      <c r="D27" s="37" t="s">
        <v>189</v>
      </c>
      <c r="E27" s="38" t="s">
        <v>190</v>
      </c>
    </row>
    <row r="28" customFormat="false" ht="15" hidden="false" customHeight="false" outlineLevel="0" collapsed="false">
      <c r="A28" s="39" t="s">
        <v>191</v>
      </c>
      <c r="C28" s="45" t="n">
        <f aca="false">MAX(WBS!I6:I17)-MIN(WBS!G6:G17)+1</f>
        <v>10</v>
      </c>
      <c r="D28" s="37" t="s">
        <v>189</v>
      </c>
      <c r="E28" s="38" t="s">
        <v>192</v>
      </c>
    </row>
    <row r="29" customFormat="false" ht="15" hidden="false" customHeight="false" outlineLevel="0" collapsed="false">
      <c r="A29" s="35" t="s">
        <v>193</v>
      </c>
      <c r="C29" s="43" t="n">
        <f aca="false">C27-C28</f>
        <v>8</v>
      </c>
      <c r="D29" s="37" t="s">
        <v>189</v>
      </c>
      <c r="E29" s="38" t="s">
        <v>194</v>
      </c>
    </row>
    <row r="30" customFormat="false" ht="15" hidden="false" customHeight="false" outlineLevel="0" collapsed="false">
      <c r="A30" s="35" t="s">
        <v>195</v>
      </c>
      <c r="C30" s="43" t="n">
        <f aca="false">Parametri!$C$10</f>
        <v>10</v>
      </c>
      <c r="D30" s="37" t="s">
        <v>189</v>
      </c>
      <c r="E30" s="38" t="s">
        <v>196</v>
      </c>
    </row>
    <row r="31" customFormat="false" ht="15" hidden="false" customHeight="false" outlineLevel="0" collapsed="false">
      <c r="A31" s="39" t="s">
        <v>197</v>
      </c>
      <c r="C31" s="45" t="n">
        <f aca="false">C28-C30</f>
        <v>0</v>
      </c>
      <c r="D31" s="37" t="s">
        <v>189</v>
      </c>
      <c r="E31" s="38" t="s">
        <v>198</v>
      </c>
    </row>
    <row r="33" customFormat="false" ht="19.5" hidden="false" customHeight="true" outlineLevel="0" collapsed="false">
      <c r="A33" s="34" t="s">
        <v>199</v>
      </c>
      <c r="B33" s="34"/>
      <c r="C33" s="34"/>
      <c r="D33" s="34"/>
      <c r="E33" s="34"/>
    </row>
    <row r="34" customFormat="false" ht="43.5" hidden="false" customHeight="true" outlineLevel="0" collapsed="false">
      <c r="A34" s="39" t="s">
        <v>200</v>
      </c>
      <c r="C34" s="46" t="s">
        <v>201</v>
      </c>
      <c r="D34" s="46"/>
      <c r="E34" s="46"/>
    </row>
    <row r="35" customFormat="false" ht="43.5" hidden="false" customHeight="true" outlineLevel="0" collapsed="false">
      <c r="A35" s="39" t="s">
        <v>202</v>
      </c>
      <c r="C35" s="46" t="s">
        <v>203</v>
      </c>
      <c r="D35" s="46"/>
      <c r="E35" s="46"/>
    </row>
    <row r="36" customFormat="false" ht="43.5" hidden="false" customHeight="true" outlineLevel="0" collapsed="false">
      <c r="A36" s="39" t="s">
        <v>204</v>
      </c>
      <c r="C36" s="46" t="s">
        <v>205</v>
      </c>
      <c r="D36" s="46"/>
      <c r="E36" s="46"/>
    </row>
    <row r="37" customFormat="false" ht="43.5" hidden="false" customHeight="true" outlineLevel="0" collapsed="false">
      <c r="A37" s="39" t="s">
        <v>206</v>
      </c>
      <c r="C37" s="46" t="s">
        <v>207</v>
      </c>
      <c r="D37" s="46"/>
      <c r="E37" s="46"/>
    </row>
    <row r="38" customFormat="false" ht="43.5" hidden="false" customHeight="true" outlineLevel="0" collapsed="false">
      <c r="A38" s="39" t="s">
        <v>208</v>
      </c>
      <c r="C38" s="46" t="s">
        <v>209</v>
      </c>
      <c r="D38" s="46"/>
      <c r="E38" s="46"/>
    </row>
    <row r="39" customFormat="false" ht="43.5" hidden="false" customHeight="true" outlineLevel="0" collapsed="false">
      <c r="A39" s="39" t="s">
        <v>210</v>
      </c>
      <c r="C39" s="46" t="s">
        <v>211</v>
      </c>
      <c r="D39" s="46"/>
      <c r="E39" s="46"/>
    </row>
  </sheetData>
  <mergeCells count="13">
    <mergeCell ref="A1:E1"/>
    <mergeCell ref="A2:E2"/>
    <mergeCell ref="A4:E4"/>
    <mergeCell ref="A12:E12"/>
    <mergeCell ref="A18:E18"/>
    <mergeCell ref="A26:E26"/>
    <mergeCell ref="A33:E33"/>
    <mergeCell ref="C34:E34"/>
    <mergeCell ref="C35:E35"/>
    <mergeCell ref="C36:E36"/>
    <mergeCell ref="C37:E37"/>
    <mergeCell ref="C38:E38"/>
    <mergeCell ref="C39:E39"/>
  </mergeCells>
  <conditionalFormatting sqref="C31">
    <cfRule type="expression" priority="2" aboveAverage="0" equalAverage="0" bottom="0" percent="0" rank="0" text="" dxfId="11">
      <formula>C31&lt;&gt;0</formula>
    </cfRule>
    <cfRule type="expression" priority="3" aboveAverage="0" equalAverage="0" bottom="0" percent="0" rank="0" text="" dxfId="12">
      <formula>C31=0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56"/>
  </cols>
  <sheetData>
    <row r="1" customFormat="false" ht="24" hidden="false" customHeight="true" outlineLevel="0" collapsed="false">
      <c r="A1" s="1" t="s">
        <v>212</v>
      </c>
      <c r="B1" s="1"/>
      <c r="C1" s="1"/>
      <c r="D1" s="1"/>
      <c r="E1" s="1"/>
    </row>
    <row r="2" customFormat="false" ht="15" hidden="false" customHeight="false" outlineLevel="0" collapsed="false">
      <c r="A2" s="33" t="s">
        <v>213</v>
      </c>
      <c r="B2" s="33"/>
      <c r="C2" s="33"/>
      <c r="D2" s="33"/>
      <c r="E2" s="33"/>
    </row>
    <row r="4" customFormat="false" ht="15" hidden="false" customHeight="false" outlineLevel="0" collapsed="false">
      <c r="A4" s="47" t="s">
        <v>214</v>
      </c>
      <c r="C4" s="47" t="s">
        <v>215</v>
      </c>
      <c r="D4" s="47" t="s">
        <v>216</v>
      </c>
      <c r="E4" s="47" t="s">
        <v>28</v>
      </c>
    </row>
    <row r="5" customFormat="false" ht="15" hidden="false" customHeight="false" outlineLevel="0" collapsed="false">
      <c r="A5" s="39" t="s">
        <v>217</v>
      </c>
      <c r="C5" s="8" t="n">
        <v>8</v>
      </c>
      <c r="D5" s="37" t="s">
        <v>169</v>
      </c>
      <c r="E5" s="35" t="s">
        <v>218</v>
      </c>
    </row>
    <row r="6" customFormat="false" ht="15" hidden="false" customHeight="false" outlineLevel="0" collapsed="false">
      <c r="A6" s="39" t="s">
        <v>219</v>
      </c>
      <c r="C6" s="48"/>
      <c r="D6" s="37" t="s">
        <v>220</v>
      </c>
      <c r="E6" s="35" t="s">
        <v>221</v>
      </c>
    </row>
    <row r="7" customFormat="false" ht="15" hidden="false" customHeight="false" outlineLevel="0" collapsed="false">
      <c r="A7" s="39" t="s">
        <v>222</v>
      </c>
      <c r="C7" s="48"/>
      <c r="D7" s="37" t="s">
        <v>220</v>
      </c>
      <c r="E7" s="35" t="s">
        <v>223</v>
      </c>
    </row>
    <row r="8" customFormat="false" ht="15" hidden="false" customHeight="false" outlineLevel="0" collapsed="false">
      <c r="A8" s="39" t="s">
        <v>224</v>
      </c>
      <c r="C8" s="48"/>
      <c r="D8" s="37" t="s">
        <v>220</v>
      </c>
      <c r="E8" s="35" t="s">
        <v>225</v>
      </c>
    </row>
    <row r="10" customFormat="false" ht="15" hidden="false" customHeight="false" outlineLevel="0" collapsed="false">
      <c r="A10" s="39" t="s">
        <v>226</v>
      </c>
      <c r="C10" s="8" t="n">
        <v>10</v>
      </c>
      <c r="D10" s="37" t="s">
        <v>189</v>
      </c>
      <c r="E10" s="35" t="s">
        <v>227</v>
      </c>
    </row>
    <row r="12" customFormat="false" ht="15" hidden="false" customHeight="false" outlineLevel="0" collapsed="false">
      <c r="A12" s="49" t="s">
        <v>228</v>
      </c>
    </row>
    <row r="13" customFormat="false" ht="15" hidden="false" customHeight="false" outlineLevel="0" collapsed="false">
      <c r="A13" s="33" t="s">
        <v>229</v>
      </c>
      <c r="B13" s="33"/>
      <c r="C13" s="33"/>
      <c r="D13" s="33"/>
      <c r="E13" s="33"/>
    </row>
  </sheetData>
  <mergeCells count="3">
    <mergeCell ref="A1:E1"/>
    <mergeCell ref="A2:E2"/>
    <mergeCell ref="A13:E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46"/>
  </cols>
  <sheetData>
    <row r="1" customFormat="false" ht="24" hidden="false" customHeight="true" outlineLevel="0" collapsed="false">
      <c r="A1" s="1" t="s">
        <v>230</v>
      </c>
      <c r="B1" s="1"/>
      <c r="C1" s="1"/>
      <c r="D1" s="1"/>
      <c r="E1" s="1"/>
    </row>
    <row r="2" customFormat="false" ht="15" hidden="false" customHeight="false" outlineLevel="0" collapsed="false">
      <c r="A2" s="33" t="s">
        <v>231</v>
      </c>
      <c r="B2" s="33"/>
      <c r="C2" s="33"/>
      <c r="D2" s="33"/>
      <c r="E2" s="33"/>
    </row>
    <row r="4" customFormat="false" ht="15" hidden="false" customHeight="false" outlineLevel="0" collapsed="false">
      <c r="A4" s="47" t="s">
        <v>232</v>
      </c>
      <c r="B4" s="47" t="s">
        <v>233</v>
      </c>
      <c r="C4" s="47" t="s">
        <v>234</v>
      </c>
      <c r="D4" s="47" t="s">
        <v>235</v>
      </c>
      <c r="E4" s="47" t="s">
        <v>28</v>
      </c>
    </row>
    <row r="5" customFormat="false" ht="30" hidden="false" customHeight="true" outlineLevel="0" collapsed="false">
      <c r="A5" s="7" t="s">
        <v>236</v>
      </c>
      <c r="B5" s="50"/>
      <c r="C5" s="51" t="s">
        <v>237</v>
      </c>
      <c r="D5" s="6" t="s">
        <v>238</v>
      </c>
      <c r="E5" s="6" t="s">
        <v>239</v>
      </c>
    </row>
    <row r="6" customFormat="false" ht="30" hidden="false" customHeight="true" outlineLevel="0" collapsed="false">
      <c r="A6" s="7" t="s">
        <v>50</v>
      </c>
      <c r="B6" s="50"/>
      <c r="C6" s="51" t="s">
        <v>237</v>
      </c>
      <c r="D6" s="6" t="s">
        <v>240</v>
      </c>
      <c r="E6" s="6" t="s">
        <v>241</v>
      </c>
    </row>
    <row r="7" customFormat="false" ht="30" hidden="false" customHeight="true" outlineLevel="0" collapsed="false">
      <c r="A7" s="7" t="s">
        <v>242</v>
      </c>
      <c r="B7" s="52" t="s">
        <v>243</v>
      </c>
      <c r="C7" s="51" t="s">
        <v>237</v>
      </c>
      <c r="D7" s="6" t="s">
        <v>244</v>
      </c>
      <c r="E7" s="6" t="s">
        <v>245</v>
      </c>
    </row>
    <row r="8" customFormat="false" ht="30" hidden="false" customHeight="true" outlineLevel="0" collapsed="false">
      <c r="A8" s="7" t="s">
        <v>246</v>
      </c>
      <c r="B8" s="50"/>
      <c r="C8" s="51" t="s">
        <v>247</v>
      </c>
      <c r="D8" s="6" t="s">
        <v>248</v>
      </c>
      <c r="E8" s="6" t="s">
        <v>249</v>
      </c>
    </row>
    <row r="9" customFormat="false" ht="30" hidden="false" customHeight="true" outlineLevel="0" collapsed="false">
      <c r="A9" s="7" t="s">
        <v>250</v>
      </c>
      <c r="B9" s="50"/>
      <c r="C9" s="51" t="s">
        <v>247</v>
      </c>
      <c r="D9" s="6" t="s">
        <v>248</v>
      </c>
      <c r="E9" s="6" t="s">
        <v>251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2026-08-31T06:33:45Z</dcterms:created>
  <dc:creator>openpyxl</dc:creator>
  <dc:description/>
  <dc:language>en-US</dc:language>
  <cp:lastModifiedBy/>
  <dcterms:modified xsi:type="dcterms:W3CDTF">2026-08-31T06:33:45Z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