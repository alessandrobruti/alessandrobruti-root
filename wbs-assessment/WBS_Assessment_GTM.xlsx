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Timeline" sheetId="2" state="visible" r:id="rId2"/>
    <sheet name="Riepilogo" sheetId="3" state="visible" r:id="rId3"/>
    <sheet name="Sheet" sheetId="4" state="visible" r:id="rId4"/>
    <sheet name="Parametri" sheetId="5" state="visible" r:id="rId5"/>
    <sheet name="Ruoli" sheetId="6" state="visible" r:id="rId6"/>
  </sheets>
  <definedNames>
    <definedName name="_xlnm._FilterDatabase" localSheetId="0" hidden="1">'WBS'!$A$5:$Z$17</definedName>
    <definedName name="_xlnm.Print_Titles" localSheetId="0">'WBS'!$5:$5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&quot;-&quot;"/>
    <numFmt numFmtId="165" formatCode="#,##0.00\ &quot;€&quot;;-#,##0.00\ &quot;€&quot;;&quot;-&quot;"/>
    <numFmt numFmtId="166" formatCode="#,##0.0;-#,##0.0;&quot;-&quot;"/>
    <numFmt numFmtId="167" formatCode="&quot;S&quot;0"/>
    <numFmt numFmtId="168" formatCode=";;;"/>
  </numFmts>
  <fonts count="11">
    <font>
      <name val="Calibri"/>
      <family val="2"/>
      <color theme="1"/>
      <sz val="11"/>
      <scheme val="minor"/>
    </font>
    <font>
      <name val="Manrope"/>
      <b val="1"/>
      <color rgb="00FFFFFF"/>
      <sz val="13"/>
    </font>
    <font>
      <name val="Manrope"/>
      <color rgb="006E6E6E"/>
      <sz val="8.5"/>
    </font>
    <font>
      <name val="Manrope"/>
      <b val="1"/>
      <color rgb="00FFFFFF"/>
      <sz val="9"/>
    </font>
    <font>
      <name val="Manrope"/>
      <b val="1"/>
      <color rgb="00000000"/>
      <sz val="9"/>
    </font>
    <font>
      <name val="Manrope"/>
      <color rgb="00000000"/>
      <sz val="9"/>
    </font>
    <font>
      <name val="Manrope"/>
      <color rgb="003A3A3A"/>
      <sz val="9"/>
    </font>
    <font>
      <name val="Manrope"/>
      <b val="1"/>
      <i val="1"/>
      <color rgb="003A3A3A"/>
      <sz val="9"/>
    </font>
    <font>
      <name val="Manrope"/>
      <i val="1"/>
      <color rgb="006E6E6E"/>
      <sz val="9"/>
    </font>
    <font>
      <name val="Manrope"/>
      <b val="1"/>
      <color rgb="003A3A3A"/>
      <sz val="9"/>
    </font>
    <font>
      <name val="Manrope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DC300"/>
        <bgColor rgb="FFFDC300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</fills>
  <borders count="6">
    <border>
      <left/>
      <right/>
      <top/>
      <bottom/>
      <diagonal/>
    </border>
    <border>
      <bottom style="thick">
        <color rgb="00FDC3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DCDCDC"/>
      </bottom>
    </border>
    <border>
      <top style="thick">
        <color rgb="00FDC300"/>
      </top>
    </border>
    <border>
      <left style="thin">
        <color rgb="009B9B9B"/>
      </left>
      <right style="thin">
        <color rgb="009B9B9B"/>
      </right>
      <top style="thin">
        <color rgb="009B9B9B"/>
      </top>
      <bottom style="thin">
        <color rgb="009B9B9B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/>
    </xf>
    <xf numFmtId="0" fontId="5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164" fontId="5" fillId="4" borderId="2" applyAlignment="1" pivotButton="0" quotePrefix="0" xfId="0">
      <alignment horizontal="center" vertical="top"/>
    </xf>
    <xf numFmtId="164" fontId="6" fillId="5" borderId="3" applyAlignment="1" pivotButton="0" quotePrefix="0" xfId="0">
      <alignment horizontal="center" vertical="top"/>
    </xf>
    <xf numFmtId="166" fontId="5" fillId="4" borderId="2" applyAlignment="1" pivotButton="0" quotePrefix="0" xfId="0">
      <alignment horizontal="center" vertical="top"/>
    </xf>
    <xf numFmtId="166" fontId="6" fillId="5" borderId="3" applyAlignment="1" pivotButton="0" quotePrefix="0" xfId="0">
      <alignment horizontal="center" vertical="top"/>
    </xf>
    <xf numFmtId="165" fontId="6" fillId="5" borderId="3" applyAlignment="1" pivotButton="0" quotePrefix="0" xfId="0">
      <alignment horizontal="center" vertical="top"/>
    </xf>
    <xf numFmtId="0" fontId="3" fillId="2" borderId="4" applyAlignment="1" pivotButton="0" quotePrefix="0" xfId="0">
      <alignment horizontal="center" vertical="center" wrapText="1"/>
    </xf>
    <xf numFmtId="164" fontId="3" fillId="2" borderId="4" applyAlignment="1" pivotButton="0" quotePrefix="0" xfId="0">
      <alignment horizontal="center" vertical="center" wrapText="1"/>
    </xf>
    <xf numFmtId="166" fontId="3" fillId="2" borderId="4" applyAlignment="1" pivotButton="0" quotePrefix="0" xfId="0">
      <alignment horizontal="center" vertical="center" wrapText="1"/>
    </xf>
    <xf numFmtId="165" fontId="3" fillId="2" borderId="4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top" wrapText="1"/>
    </xf>
    <xf numFmtId="0" fontId="0" fillId="5" borderId="0" pivotButton="0" quotePrefix="0" xfId="0"/>
    <xf numFmtId="0" fontId="8" fillId="5" borderId="3" applyAlignment="1" pivotButton="0" quotePrefix="0" xfId="0">
      <alignment horizontal="center" vertical="top"/>
    </xf>
    <xf numFmtId="0" fontId="8" fillId="5" borderId="3" applyAlignment="1" pivotButton="0" quotePrefix="0" xfId="0">
      <alignment horizontal="left" vertical="top" wrapText="1"/>
    </xf>
    <xf numFmtId="164" fontId="8" fillId="5" borderId="3" applyAlignment="1" pivotButton="0" quotePrefix="0" xfId="0">
      <alignment horizontal="center" vertical="top"/>
    </xf>
    <xf numFmtId="166" fontId="8" fillId="5" borderId="3" applyAlignment="1" pivotButton="0" quotePrefix="0" xfId="0">
      <alignment horizontal="center" vertical="top"/>
    </xf>
    <xf numFmtId="165" fontId="8" fillId="5" borderId="3" applyAlignment="1" pivotButton="0" quotePrefix="0" xfId="0">
      <alignment horizontal="center" vertical="top"/>
    </xf>
    <xf numFmtId="167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top"/>
    </xf>
    <xf numFmtId="0" fontId="9" fillId="0" borderId="3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center" vertical="top"/>
    </xf>
    <xf numFmtId="0" fontId="6" fillId="0" borderId="3" applyAlignment="1" pivotButton="0" quotePrefix="0" xfId="0">
      <alignment horizontal="left" vertical="top" wrapText="1"/>
    </xf>
    <xf numFmtId="168" fontId="5" fillId="0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right" vertical="center"/>
    </xf>
    <xf numFmtId="0" fontId="0" fillId="2" borderId="4" pivotButton="0" quotePrefix="0" xfId="0"/>
    <xf numFmtId="0" fontId="4" fillId="0" borderId="0" pivotButton="0" quotePrefix="0" xfId="0"/>
    <xf numFmtId="164" fontId="9" fillId="5" borderId="5" applyAlignment="1" pivotButton="0" quotePrefix="0" xfId="0">
      <alignment horizontal="center" vertical="center" wrapText="1"/>
    </xf>
    <xf numFmtId="0" fontId="2" fillId="0" borderId="0" pivotButton="0" quotePrefix="0" xfId="0"/>
    <xf numFmtId="0" fontId="10" fillId="3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left" vertical="top" wrapText="1"/>
    </xf>
    <xf numFmtId="166" fontId="9" fillId="5" borderId="3" applyAlignment="1" pivotButton="0" quotePrefix="0" xfId="0">
      <alignment horizontal="center" vertical="top"/>
    </xf>
    <xf numFmtId="165" fontId="9" fillId="5" borderId="3" applyAlignment="1" pivotButton="0" quotePrefix="0" xfId="0">
      <alignment horizontal="center" vertical="top"/>
    </xf>
    <xf numFmtId="0" fontId="6" fillId="5" borderId="3" applyAlignment="1" pivotButton="0" quotePrefix="0" xfId="0">
      <alignment horizontal="center" vertical="top"/>
    </xf>
    <xf numFmtId="164" fontId="9" fillId="5" borderId="3" applyAlignment="1" pivotButton="0" quotePrefix="0" xfId="0">
      <alignment horizontal="center" vertical="top"/>
    </xf>
    <xf numFmtId="0" fontId="4" fillId="0" borderId="3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0" fillId="2" borderId="0" pivotButton="0" quotePrefix="0" xfId="0"/>
    <xf numFmtId="0" fontId="0" fillId="0" borderId="3" pivotButton="0" quotePrefix="0" xfId="0"/>
    <xf numFmtId="165" fontId="5" fillId="4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6">
    <dxf>
      <font>
        <name val="Manrope"/>
        <b val="1"/>
        <color rgb="00000000"/>
        <sz val="9"/>
      </font>
      <fill>
        <patternFill patternType="solid">
          <fgColor rgb="FFFDC300"/>
          <bgColor rgb="FFFDC300"/>
        </patternFill>
      </fill>
    </dxf>
    <dxf>
      <fill>
        <patternFill patternType="solid">
          <fgColor rgb="FFFDC300"/>
          <bgColor rgb="FFFDC300"/>
        </patternFill>
      </fill>
    </dxf>
    <dxf>
      <fill>
        <patternFill patternType="solid">
          <fgColor rgb="FF8C8C8C"/>
          <bgColor rgb="FF8C8C8C"/>
        </patternFill>
      </fill>
    </dxf>
    <dxf>
      <fill>
        <patternFill patternType="solid">
          <fgColor rgb="FF000000"/>
          <bgColor rgb="FF000000"/>
        </patternFill>
      </fill>
    </dxf>
    <dxf>
      <font>
        <name val="Manrope"/>
        <b val="1"/>
        <color rgb="00000000"/>
        <sz val="9"/>
      </font>
    </dxf>
    <dxf>
      <font>
        <name val="Manrope"/>
        <b val="1"/>
        <color rgb="00FFFFFF"/>
        <sz val="9"/>
      </font>
      <fill>
        <patternFill patternType="solid">
          <fgColor rgb="FF0000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WBS</author>
  </authors>
  <commentList>
    <comment ref="C6" authorId="0" shapeId="0">
      <text>
        <t>Tariffa non ancora fornita. Finché la cella resta vuota, la colonna «Costo totale» della WBS vale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11" customWidth="1" min="4" max="4"/>
    <col width="13" customWidth="1" min="5" max="5"/>
    <col width="24" customWidth="1" min="6" max="6"/>
    <col width="8" customWidth="1" min="7" max="7"/>
    <col width="8" customWidth="1" min="8" max="8"/>
    <col width="8" customWidth="1" min="9" max="9"/>
    <col width="68" customWidth="1" min="10" max="10"/>
    <col width="40" customWidth="1" min="11" max="11"/>
    <col width="40" customWidth="1" min="12" max="12"/>
    <col width="34" customWidth="1" min="13" max="13"/>
    <col width="44" customWidth="1" min="14" max="14"/>
    <col width="26" customWidth="1" min="15" max="15"/>
    <col width="30" customWidth="1" min="16" max="16"/>
    <col width="8" customWidth="1" min="17" max="17"/>
    <col width="10" customWidth="1" min="18" max="18"/>
    <col width="10" customWidth="1" min="19" max="19"/>
    <col width="10" customWidth="1" min="20" max="20"/>
    <col width="9" customWidth="1" min="21" max="21"/>
    <col width="38" customWidth="1" min="22" max="22"/>
    <col width="10" customWidth="1" min="23" max="23"/>
    <col width="10" customWidth="1" min="24" max="24"/>
    <col width="15" customWidth="1" min="25" max="25"/>
    <col width="46" customWidth="1" min="26" max="26"/>
  </cols>
  <sheetData>
    <row r="1" ht="26" customHeight="1">
      <c r="A1" s="1" t="inlineStr">
        <is>
          <t>›  WORK BREAKDOWN STRUCTURE — PROGETTO DI ASSESSMENT GO-TO-MARKET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>
      <c r="A2" s="3" t="inlineStr">
        <is>
          <t>LEGENDA — Le colonne con intestazione GIALLA sono da compilare a mano: le loro celle portano un riquadro nero. Le celle su fondo GRIGIO sono calcolate da formula e non vanno modificate. Tariffe e ore per giornata si impostano nel foglio «Parametri», i nomi del team nel foglio «Ruoli».</t>
        </is>
      </c>
    </row>
    <row r="3" ht="26" customHeight="1">
      <c r="A3" s="4" t="inlineStr">
        <is>
          <t>Le colonne «gg Front office / Back office / Viaggio» esprimono GIORNATE-UOMO aggregate, non giorni di calendario: 2 consulenti per mezza giornata dal cliente = 1 giornata front. La composizione della squadra si descrive nella colonna «Delivery». Le ore di viaggio sono incluse nel monte ore.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5" ht="34" customHeight="1">
      <c r="A5" s="6" t="inlineStr">
        <is>
          <t>#</t>
        </is>
      </c>
      <c r="B5" s="6" t="inlineStr">
        <is>
          <t>Cod. WBS</t>
        </is>
      </c>
      <c r="C5" s="6" t="inlineStr">
        <is>
          <t>Fase</t>
        </is>
      </c>
      <c r="D5" s="6" t="inlineStr">
        <is>
          <t>Tipo</t>
        </is>
      </c>
      <c r="E5" s="6" t="inlineStr">
        <is>
          <t>Modalità</t>
        </is>
      </c>
      <c r="F5" s="6" t="inlineStr">
        <is>
          <t>Blocco</t>
        </is>
      </c>
      <c r="G5" s="7" t="inlineStr">
        <is>
          <t>Sett.
inizio</t>
        </is>
      </c>
      <c r="H5" s="7" t="inlineStr">
        <is>
          <t>Durata
(sett.)</t>
        </is>
      </c>
      <c r="I5" s="6" t="inlineStr">
        <is>
          <t>Sett.
fine</t>
        </is>
      </c>
      <c r="J5" s="6" t="inlineStr">
        <is>
          <t>Descrizione</t>
        </is>
      </c>
      <c r="K5" s="6" t="inlineStr">
        <is>
          <t>Attività preparatorie</t>
        </is>
      </c>
      <c r="L5" s="6" t="inlineStr">
        <is>
          <t>Attività di follow-up</t>
        </is>
      </c>
      <c r="M5" s="6" t="inlineStr">
        <is>
          <t>Input dal cliente</t>
        </is>
      </c>
      <c r="N5" s="6" t="inlineStr">
        <is>
          <t>Output / Deliverable</t>
        </is>
      </c>
      <c r="O5" s="6" t="inlineStr">
        <is>
          <t>Owner</t>
        </is>
      </c>
      <c r="P5" s="6" t="inlineStr">
        <is>
          <t>Partecipanti</t>
        </is>
      </c>
      <c r="Q5" s="7" t="inlineStr">
        <is>
          <t>N.
incontri</t>
        </is>
      </c>
      <c r="R5" s="7" t="inlineStr">
        <is>
          <t>Durata
incontro (h)</t>
        </is>
      </c>
      <c r="S5" s="7" t="inlineStr">
        <is>
          <t>gg Front
office</t>
        </is>
      </c>
      <c r="T5" s="7" t="inlineStr">
        <is>
          <t>gg Back
office</t>
        </is>
      </c>
      <c r="U5" s="7" t="inlineStr">
        <is>
          <t>gg
Viaggio</t>
        </is>
      </c>
      <c r="V5" s="6" t="inlineStr">
        <is>
          <t>Delivery (composizione team)</t>
        </is>
      </c>
      <c r="W5" s="6" t="inlineStr">
        <is>
          <t>Tot.
giornate</t>
        </is>
      </c>
      <c r="X5" s="6" t="inlineStr">
        <is>
          <t>Ore
totali</t>
        </is>
      </c>
      <c r="Y5" s="6" t="inlineStr">
        <is>
          <t>Costo totale</t>
        </is>
      </c>
      <c r="Z5" s="6" t="inlineStr">
        <is>
          <t>Note</t>
        </is>
      </c>
    </row>
    <row r="6" ht="78" customHeight="1">
      <c r="A6" s="8" t="n">
        <v>1</v>
      </c>
      <c r="B6" s="9" t="inlineStr">
        <is>
          <t>1.1</t>
        </is>
      </c>
      <c r="C6" s="10" t="inlineStr">
        <is>
          <t>Kick off e raccolta dati</t>
        </is>
      </c>
      <c r="D6" s="9" t="inlineStr">
        <is>
          <t>Cliente</t>
        </is>
      </c>
      <c r="E6" s="9" t="inlineStr">
        <is>
          <t>Remoto</t>
        </is>
      </c>
      <c r="F6" s="9" t="inlineStr">
        <is>
          <t>1 · Avvio</t>
        </is>
      </c>
      <c r="G6" s="11" t="n">
        <v>1</v>
      </c>
      <c r="H6" s="11" t="n">
        <v>1</v>
      </c>
      <c r="I6" s="12">
        <f>IF(AND(G6&lt;&gt;"",H6&lt;&gt;""),G6+H6-1,"")</f>
        <v/>
      </c>
      <c r="J6" s="9" t="inlineStr">
        <is>
          <t>Incontro di avvio in remoto con i team di progetto di entrambe le parti. Si condividono obiettivi e perimetro dell'assessment, si presenta il team e si calendarizzano gli incontri successivi. Nella seconda parte si illustra la struttura dei dati richiesta al cliente, si chiariscono dubbi e domande e si concorda la data di consegna degli export, fissata entro una settimana dal kick off. Il lead time della fase coincide con il tempo necessario al cliente per predisporre e trasmettere gli export.</t>
        </is>
      </c>
      <c r="K6" s="9" t="inlineStr">
        <is>
          <t>Invio dell'invito e fissaggio dell'incontro a cura del Commerciale.</t>
        </is>
      </c>
      <c r="L6" s="9" t="inlineStr">
        <is>
          <t>Invio, a cura del Project Manager, del documento presentato e del tracciato dei dati richiesti.</t>
        </is>
      </c>
      <c r="M6" s="9" t="inlineStr">
        <is>
          <t>Export dei dati trasmessi via email entro 5 giorni lavorativi dal kick off.</t>
        </is>
      </c>
      <c r="N6" s="9" t="inlineStr">
        <is>
          <t>Obiettivi e perimetro condivisi · calendario degli incontri · tracciato dati concordato.</t>
        </is>
      </c>
      <c r="O6" s="9" t="inlineStr">
        <is>
          <t>Commerciale (convocazione) → Project Manager (follow-up)</t>
        </is>
      </c>
      <c r="P6" s="9" t="inlineStr">
        <is>
          <t>Team di progetto completo, entrambe le parti</t>
        </is>
      </c>
      <c r="Q6" s="11" t="n">
        <v>1</v>
      </c>
      <c r="R6" s="13" t="n"/>
      <c r="S6" s="13" t="n"/>
      <c r="T6" s="13" t="n"/>
      <c r="U6" s="13" t="n"/>
      <c r="V6" s="9" t="n"/>
      <c r="W6" s="14">
        <f>IF(COUNT(S6:U6)=0,"",SUM(S6:U6))</f>
        <v/>
      </c>
      <c r="X6" s="14">
        <f>IF(W6="","",W6*Parametri!$C$5)</f>
        <v/>
      </c>
      <c r="Y6" s="15">
        <f>IF(COUNT(S6:U6)=0,"",S6*Parametri!$C$5*Parametri!$C$6+T6*Parametri!$C$5*Parametri!$C$7+U6*Parametri!$C$5*Parametri!$C$8)</f>
        <v/>
      </c>
      <c r="Z6" s="9" t="inlineStr">
        <is>
          <t>Vincolo: la consegna degli export non può superare 1 settimana dal kick off.</t>
        </is>
      </c>
    </row>
    <row r="7" ht="78" customHeight="1">
      <c r="A7" s="8" t="n">
        <v>2</v>
      </c>
      <c r="B7" s="9" t="inlineStr">
        <is>
          <t>1.2</t>
        </is>
      </c>
      <c r="C7" s="10" t="inlineStr">
        <is>
          <t>Analisi dati e sintesi</t>
        </is>
      </c>
      <c r="D7" s="9" t="inlineStr">
        <is>
          <t>Interna</t>
        </is>
      </c>
      <c r="E7" s="9" t="inlineStr">
        <is>
          <t>Interna</t>
        </is>
      </c>
      <c r="F7" s="9" t="inlineStr">
        <is>
          <t>1 · Avvio</t>
        </is>
      </c>
      <c r="G7" s="11" t="n">
        <v>2</v>
      </c>
      <c r="H7" s="11" t="n">
        <v>1</v>
      </c>
      <c r="I7" s="12">
        <f>IF(AND(G7&lt;&gt;"",H7&lt;&gt;""),G7+H7-1,"")</f>
        <v/>
      </c>
      <c r="J7" s="9" t="inlineStr">
        <is>
          <t>Analisi degli export ricevuti per ricostruire l'evidenza sulla base clienti attuale, su due piani: lettura logico-funzionale del dato e verifica di data quality. L'esito confluisce in una restituzione interna al team, in cui si presentano le evidenze emerse, l'issue tree e le prime ipotesi da validare nel corso del progetto.</t>
        </is>
      </c>
      <c r="K7" s="9" t="inlineStr">
        <is>
          <t>Verifica di completezza e leggibilità degli export ricevuti.</t>
        </is>
      </c>
      <c r="L7" s="9" t="inlineStr">
        <is>
          <t>Formalizzazione al cliente via email di dubbi, lacune e richieste di integrazione dati.</t>
        </is>
      </c>
      <c r="M7" s="9" t="inlineStr">
        <is>
          <t>Export dati completi e leggibili.</t>
        </is>
      </c>
      <c r="N7" s="9" t="inlineStr">
        <is>
          <t>Evidenze sulla base clienti · esiti di data quality · issue tree · ipotesi da validare · lista domande al cliente.</t>
        </is>
      </c>
      <c r="O7" s="9" t="inlineStr">
        <is>
          <t>Project Manager</t>
        </is>
      </c>
      <c r="P7" s="9" t="inlineStr">
        <is>
          <t>1 consulente RevOps sull'analisi; restituzione di 1 ora all'intero team</t>
        </is>
      </c>
      <c r="Q7" s="11" t="n">
        <v>1</v>
      </c>
      <c r="R7" s="13" t="n">
        <v>1</v>
      </c>
      <c r="S7" s="13" t="n"/>
      <c r="T7" s="13" t="n"/>
      <c r="U7" s="13" t="n"/>
      <c r="V7" s="9" t="inlineStr">
        <is>
          <t>1 risorsa in back office; restituzione al team di 1 ora con tutto il gruppo</t>
        </is>
      </c>
      <c r="W7" s="14">
        <f>IF(COUNT(S7:U7)=0,"",SUM(S7:U7))</f>
        <v/>
      </c>
      <c r="X7" s="14">
        <f>IF(W7="","",W7*Parametri!$C$5)</f>
        <v/>
      </c>
      <c r="Y7" s="15">
        <f>IF(COUNT(S7:U7)=0,"",S7*Parametri!$C$5*Parametri!$C$6+T7*Parametri!$C$5*Parametri!$C$7+U7*Parametri!$C$5*Parametri!$C$8)</f>
        <v/>
      </c>
      <c r="Z7" s="9" t="inlineStr">
        <is>
          <t>L'analisi è svolta da una sola persona: la restituzione è l'unico momento collegiale.</t>
        </is>
      </c>
    </row>
    <row r="8" ht="78" customHeight="1">
      <c r="A8" s="8" t="n">
        <v>3</v>
      </c>
      <c r="B8" s="9" t="inlineStr">
        <is>
          <t>1.3</t>
        </is>
      </c>
      <c r="C8" s="10" t="inlineStr">
        <is>
          <t>Revenue model</t>
        </is>
      </c>
      <c r="D8" s="9" t="inlineStr">
        <is>
          <t>Cliente</t>
        </is>
      </c>
      <c r="E8" s="9" t="inlineStr">
        <is>
          <t>In presenza</t>
        </is>
      </c>
      <c r="F8" s="9" t="inlineStr">
        <is>
          <t>2 · Workshop in parallelo</t>
        </is>
      </c>
      <c r="G8" s="11" t="n">
        <v>3</v>
      </c>
      <c r="H8" s="11" t="n">
        <v>2</v>
      </c>
      <c r="I8" s="12">
        <f>IF(AND(G8&lt;&gt;"",H8&lt;&gt;""),G8+H8-1,"")</f>
        <v/>
      </c>
      <c r="J8" s="9" t="inlineStr">
        <is>
          <t>Workshop in presenza per la mappatura del modello di ricavo del cliente, articolato in due sessioni distinte — una dedicata al canale B2B e una al B2C — con compilazione congiunta del framework revenue model.</t>
        </is>
      </c>
      <c r="K8" s="9" t="inlineStr">
        <is>
          <t>Predisposizione dei materiali di workshop e condivisione dell'agenda con il cliente.</t>
        </is>
      </c>
      <c r="L8" s="9" t="inlineStr">
        <is>
          <t>Compilazione del file di delivery · restituzione formalizzata al cliente · registrazione delle evidenze emerse.</t>
        </is>
      </c>
      <c r="M8" s="9" t="inlineStr">
        <is>
          <t>Disponibilità dei referenti di canale e accesso ai dati di ricavo.</t>
        </is>
      </c>
      <c r="N8" s="9" t="inlineStr">
        <is>
          <t>Revenue model mappato e validato per canale B2B e B2C.</t>
        </is>
      </c>
      <c r="O8" s="9" t="inlineStr">
        <is>
          <t>Project Manager</t>
        </is>
      </c>
      <c r="P8" s="9" t="inlineStr">
        <is>
          <t>Facilitatore senior + 2 consulenti RevOps junior</t>
        </is>
      </c>
      <c r="Q8" s="11" t="n">
        <v>2</v>
      </c>
      <c r="R8" s="13" t="n"/>
      <c r="S8" s="13" t="n"/>
      <c r="T8" s="13" t="n"/>
      <c r="U8" s="13" t="n"/>
      <c r="V8" s="9" t="inlineStr">
        <is>
          <t>3 persone in presenza (1 facilitatore senior + 2 consulenti junior)</t>
        </is>
      </c>
      <c r="W8" s="14">
        <f>IF(COUNT(S8:U8)=0,"",SUM(S8:U8))</f>
        <v/>
      </c>
      <c r="X8" s="14">
        <f>IF(W8="","",W8*Parametri!$C$5)</f>
        <v/>
      </c>
      <c r="Y8" s="15">
        <f>IF(COUNT(S8:U8)=0,"",S8*Parametri!$C$5*Parametri!$C$6+T8*Parametri!$C$5*Parametri!$C$7+U8*Parametri!$C$5*Parametri!$C$8)</f>
        <v/>
      </c>
      <c r="Z8" s="9" t="inlineStr">
        <is>
          <t>Durata delle due sessioni da definire.</t>
        </is>
      </c>
    </row>
    <row r="9" ht="78" customHeight="1">
      <c r="A9" s="8" t="n">
        <v>4</v>
      </c>
      <c r="B9" s="9" t="inlineStr">
        <is>
          <t>1.4</t>
        </is>
      </c>
      <c r="C9" s="10" t="inlineStr">
        <is>
          <t>ICP model e customer journey</t>
        </is>
      </c>
      <c r="D9" s="9" t="inlineStr">
        <is>
          <t>Cliente</t>
        </is>
      </c>
      <c r="E9" s="9" t="inlineStr">
        <is>
          <t>Remoto</t>
        </is>
      </c>
      <c r="F9" s="9" t="inlineStr">
        <is>
          <t>2 · Workshop in parallelo</t>
        </is>
      </c>
      <c r="G9" s="11" t="n">
        <v>3</v>
      </c>
      <c r="H9" s="11" t="n">
        <v>2</v>
      </c>
      <c r="I9" s="12">
        <f>IF(AND(G9&lt;&gt;"",H9&lt;&gt;""),G9+H9-1,"")</f>
        <v/>
      </c>
      <c r="J9" s="9" t="inlineStr">
        <is>
          <t>Due incontri in remoto — uno sul canale B2B e uno sul B2C — per la definizione del profilo di cliente ideale e della relativa customer journey. La mappatura si sviluppa sul bow tie: per ciascuna fase si individua il percorso desiderato e le frizioni oggi presenti.</t>
        </is>
      </c>
      <c r="K9" s="9" t="inlineStr">
        <is>
          <t>Predisposizione della struttura bow tie e condivisione dell'agenda.</t>
        </is>
      </c>
      <c r="L9" s="9" t="inlineStr">
        <is>
          <t>Compilazione del file di delivery · restituzione formalizzata al cliente · registrazione delle evidenze emerse.</t>
        </is>
      </c>
      <c r="M9" s="9" t="inlineStr">
        <is>
          <t>Disponibilità dei referenti marketing e sales.</t>
        </is>
      </c>
      <c r="N9" s="9" t="inlineStr">
        <is>
          <t>Ideal Customer Profile definito · customer journey mappata lungo il bow tie con le frizioni per fase.</t>
        </is>
      </c>
      <c r="O9" s="9" t="inlineStr">
        <is>
          <t>Project Manager</t>
        </is>
      </c>
      <c r="P9" s="9" t="inlineStr">
        <is>
          <t>Facilitatore senior + 2 consulenti RevOps junior</t>
        </is>
      </c>
      <c r="Q9" s="11" t="n">
        <v>2</v>
      </c>
      <c r="R9" s="13" t="n"/>
      <c r="S9" s="13" t="n"/>
      <c r="T9" s="13" t="n"/>
      <c r="U9" s="13" t="n"/>
      <c r="V9" s="9" t="inlineStr">
        <is>
          <t>3 persone in remoto (1 facilitatore senior + 2 consulenti junior)</t>
        </is>
      </c>
      <c r="W9" s="14">
        <f>IF(COUNT(S9:U9)=0,"",SUM(S9:U9))</f>
        <v/>
      </c>
      <c r="X9" s="14">
        <f>IF(W9="","",W9*Parametri!$C$5)</f>
        <v/>
      </c>
      <c r="Y9" s="15">
        <f>IF(COUNT(S9:U9)=0,"",S9*Parametri!$C$5*Parametri!$C$6+T9*Parametri!$C$5*Parametri!$C$7+U9*Parametri!$C$5*Parametri!$C$8)</f>
        <v/>
      </c>
      <c r="Z9" s="9" t="inlineStr">
        <is>
          <t>Durata delle due sessioni da definire.</t>
        </is>
      </c>
    </row>
    <row r="10" ht="78" customHeight="1">
      <c r="A10" s="8" t="n">
        <v>5</v>
      </c>
      <c r="B10" s="9" t="inlineStr">
        <is>
          <t>1.5</t>
        </is>
      </c>
      <c r="C10" s="10" t="inlineStr">
        <is>
          <t>Process design</t>
        </is>
      </c>
      <c r="D10" s="9" t="inlineStr">
        <is>
          <t>Cliente</t>
        </is>
      </c>
      <c r="E10" s="9" t="inlineStr">
        <is>
          <t>In presenza</t>
        </is>
      </c>
      <c r="F10" s="9" t="inlineStr">
        <is>
          <t>2 · Workshop in parallelo</t>
        </is>
      </c>
      <c r="G10" s="11" t="n">
        <v>3</v>
      </c>
      <c r="H10" s="11" t="n">
        <v>2</v>
      </c>
      <c r="I10" s="12">
        <f>IF(AND(G10&lt;&gt;"",H10&lt;&gt;""),G10+H10-1,"")</f>
        <v/>
      </c>
      <c r="J10" s="9" t="inlineStr">
        <is>
          <t>Workshop in presenza per la mappatura dei processi attualmente in essere su marketing, sales e delivery. Si analizza cosa funziona e cosa non funziona nei flussi correnti e si individuano i gap rispetto allo stato desiderato definito nella customer journey.</t>
        </is>
      </c>
      <c r="K10" s="9" t="inlineStr">
        <is>
          <t>Raccolta della documentazione di processo esistente e condivisione dell'agenda.</t>
        </is>
      </c>
      <c r="L10" s="9" t="inlineStr">
        <is>
          <t>Compilazione del file di delivery · restituzione formalizzata al cliente · registrazione delle evidenze emerse.</t>
        </is>
      </c>
      <c r="M10" s="9" t="inlineStr">
        <is>
          <t>Documentazione di processo e disponibilità dei process owner.</t>
        </is>
      </c>
      <c r="N10" s="9" t="inlineStr">
        <is>
          <t>Mappatura del flusso di processo lungo l'intera catena del valore go-to-market · gap rispetto allo stato desiderato.</t>
        </is>
      </c>
      <c r="O10" s="9" t="inlineStr">
        <is>
          <t>Project Manager</t>
        </is>
      </c>
      <c r="P10" s="9" t="inlineStr">
        <is>
          <t>Facilitatore senior + 2 consulenti RevOps junior</t>
        </is>
      </c>
      <c r="Q10" s="11" t="n"/>
      <c r="R10" s="13" t="n"/>
      <c r="S10" s="13" t="n"/>
      <c r="T10" s="13" t="n"/>
      <c r="U10" s="13" t="n"/>
      <c r="V10" s="9" t="inlineStr">
        <is>
          <t>3 persone in presenza (1 facilitatore senior + 2 consulenti junior)</t>
        </is>
      </c>
      <c r="W10" s="14">
        <f>IF(COUNT(S10:U10)=0,"",SUM(S10:U10))</f>
        <v/>
      </c>
      <c r="X10" s="14">
        <f>IF(W10="","",W10*Parametri!$C$5)</f>
        <v/>
      </c>
      <c r="Y10" s="15">
        <f>IF(COUNT(S10:U10)=0,"",S10*Parametri!$C$5*Parametri!$C$6+T10*Parametri!$C$5*Parametri!$C$7+U10*Parametri!$C$5*Parametri!$C$8)</f>
        <v/>
      </c>
      <c r="Z10" s="9" t="inlineStr">
        <is>
          <t>Numero e durata delle sessioni da definire.</t>
        </is>
      </c>
    </row>
    <row r="11" ht="78" customHeight="1">
      <c r="A11" s="8" t="n">
        <v>6</v>
      </c>
      <c r="B11" s="9" t="inlineStr">
        <is>
          <t>1.6</t>
        </is>
      </c>
      <c r="C11" s="10" t="inlineStr">
        <is>
          <t>Tech stack</t>
        </is>
      </c>
      <c r="D11" s="9" t="inlineStr">
        <is>
          <t>Cliente</t>
        </is>
      </c>
      <c r="E11" s="9" t="inlineStr">
        <is>
          <t>Da definire</t>
        </is>
      </c>
      <c r="F11" s="9" t="inlineStr">
        <is>
          <t>2 · Workshop in parallelo</t>
        </is>
      </c>
      <c r="G11" s="11" t="n">
        <v>3</v>
      </c>
      <c r="H11" s="11" t="n">
        <v>2</v>
      </c>
      <c r="I11" s="12">
        <f>IF(AND(G11&lt;&gt;"",H11&lt;&gt;""),G11+H11-1,"")</f>
        <v/>
      </c>
      <c r="J11" s="9" t="inlineStr">
        <is>
          <t>Ricognizione degli strumenti oggi in uso che intercettano la strategia go-to-market, con verifica di come sono strutturati database e flussi di dati. L'obiettivo è fotografare lo stack as-is e disegnare lo stack to-be in ottica di razionalizzazione.</t>
        </is>
      </c>
      <c r="K11" s="9" t="inlineStr">
        <is>
          <t>Richiesta preventiva dell'inventario applicativo e delle licenze in essere.</t>
        </is>
      </c>
      <c r="L11" s="9" t="inlineStr">
        <is>
          <t>Compilazione del file di delivery · restituzione formalizzata al cliente · registrazione delle evidenze emerse.</t>
        </is>
      </c>
      <c r="M11" s="9" t="inlineStr">
        <is>
          <t>Inventario degli strumenti in uso e accesso ai referenti IT.</t>
        </is>
      </c>
      <c r="N11" s="9" t="inlineStr">
        <is>
          <t>Mappa degli strumenti as-is e to-be · indicazioni di razionalizzazione dello stack e del database.</t>
        </is>
      </c>
      <c r="O11" s="9" t="inlineStr">
        <is>
          <t>Project Manager</t>
        </is>
      </c>
      <c r="P11" s="9" t="inlineStr">
        <is>
          <t>Facilitatore senior + 2 consulenti RevOps junior</t>
        </is>
      </c>
      <c r="Q11" s="11" t="n"/>
      <c r="R11" s="13" t="n"/>
      <c r="S11" s="13" t="n"/>
      <c r="T11" s="13" t="n"/>
      <c r="U11" s="13" t="n"/>
      <c r="V11" s="9" t="inlineStr">
        <is>
          <t>3 persone (1 facilitatore senior + 2 consulenti junior)</t>
        </is>
      </c>
      <c r="W11" s="14">
        <f>IF(COUNT(S11:U11)=0,"",SUM(S11:U11))</f>
        <v/>
      </c>
      <c r="X11" s="14">
        <f>IF(W11="","",W11*Parametri!$C$5)</f>
        <v/>
      </c>
      <c r="Y11" s="15">
        <f>IF(COUNT(S11:U11)=0,"",S11*Parametri!$C$5*Parametri!$C$6+T11*Parametri!$C$5*Parametri!$C$7+U11*Parametri!$C$5*Parametri!$C$8)</f>
        <v/>
      </c>
      <c r="Z11" s="9" t="inlineStr">
        <is>
          <t>Modalità (presenza / remoto), numero e durata delle sessioni da definire.</t>
        </is>
      </c>
    </row>
    <row r="12" ht="78" customHeight="1">
      <c r="A12" s="8" t="n">
        <v>7</v>
      </c>
      <c r="B12" s="9" t="inlineStr">
        <is>
          <t>1.7</t>
        </is>
      </c>
      <c r="C12" s="10" t="inlineStr">
        <is>
          <t>Data model</t>
        </is>
      </c>
      <c r="D12" s="9" t="inlineStr">
        <is>
          <t>Cliente</t>
        </is>
      </c>
      <c r="E12" s="9" t="inlineStr">
        <is>
          <t>Da definire</t>
        </is>
      </c>
      <c r="F12" s="9" t="inlineStr">
        <is>
          <t>2 · Workshop in parallelo</t>
        </is>
      </c>
      <c r="G12" s="11" t="n">
        <v>3</v>
      </c>
      <c r="H12" s="11" t="n">
        <v>2</v>
      </c>
      <c r="I12" s="12">
        <f>IF(AND(G12&lt;&gt;"",H12&lt;&gt;""),G12+H12-1,"")</f>
        <v/>
      </c>
      <c r="J12" s="9" t="inlineStr">
        <is>
          <t>Incontro dedicato alla proposta del set di KPI necessari a misurare il sistema, costruito utilizzando il bow tie come backbone. Si definiscono KPI di primo e di secondo livello per monitorare l'avanzamento della generazione di valore.</t>
        </is>
      </c>
      <c r="K12" s="9" t="inlineStr">
        <is>
          <t>Predisposizione dell'albero dei KPI di primo e secondo livello sul bow tie.</t>
        </is>
      </c>
      <c r="L12" s="9" t="inlineStr">
        <is>
          <t>Compilazione del file di delivery · restituzione formalizzata al cliente · registrazione delle evidenze emerse.</t>
        </is>
      </c>
      <c r="M12" s="9" t="inlineStr">
        <is>
          <t>Disponibilità dei dati necessari ad alimentare i KPI proposti.</t>
        </is>
      </c>
      <c r="N12" s="9" t="inlineStr">
        <is>
          <t>Set di KPI di primo e secondo livello ancorati al bow tie · logica di misurazione della generazione di valore.</t>
        </is>
      </c>
      <c r="O12" s="9" t="inlineStr">
        <is>
          <t>Project Manager</t>
        </is>
      </c>
      <c r="P12" s="9" t="inlineStr">
        <is>
          <t>Facilitatore senior + 2 consulenti RevOps junior</t>
        </is>
      </c>
      <c r="Q12" s="11" t="n">
        <v>1</v>
      </c>
      <c r="R12" s="13" t="n"/>
      <c r="S12" s="13" t="n"/>
      <c r="T12" s="13" t="n"/>
      <c r="U12" s="13" t="n"/>
      <c r="V12" s="9" t="inlineStr">
        <is>
          <t>3 persone (1 facilitatore senior + 2 consulenti junior)</t>
        </is>
      </c>
      <c r="W12" s="14">
        <f>IF(COUNT(S12:U12)=0,"",SUM(S12:U12))</f>
        <v/>
      </c>
      <c r="X12" s="14">
        <f>IF(W12="","",W12*Parametri!$C$5)</f>
        <v/>
      </c>
      <c r="Y12" s="15">
        <f>IF(COUNT(S12:U12)=0,"",S12*Parametri!$C$5*Parametri!$C$6+T12*Parametri!$C$5*Parametri!$C$7+U12*Parametri!$C$5*Parametri!$C$8)</f>
        <v/>
      </c>
      <c r="Z12" s="9" t="inlineStr">
        <is>
          <t>Modalità (presenza / remoto) e durata da definire.</t>
        </is>
      </c>
    </row>
    <row r="13" ht="78" customHeight="1">
      <c r="A13" s="8" t="n">
        <v>8</v>
      </c>
      <c r="B13" s="9" t="inlineStr">
        <is>
          <t>1.8</t>
        </is>
      </c>
      <c r="C13" s="10" t="inlineStr">
        <is>
          <t>Interviste qualitative</t>
        </is>
      </c>
      <c r="D13" s="9" t="inlineStr">
        <is>
          <t>Cliente</t>
        </is>
      </c>
      <c r="E13" s="9" t="inlineStr">
        <is>
          <t>Remoto</t>
        </is>
      </c>
      <c r="F13" s="9" t="inlineStr">
        <is>
          <t>3 · Approfondimento</t>
        </is>
      </c>
      <c r="G13" s="11" t="n">
        <v>5</v>
      </c>
      <c r="H13" s="11" t="n">
        <v>1</v>
      </c>
      <c r="I13" s="12">
        <f>IF(AND(G13&lt;&gt;"",H13&lt;&gt;""),G13+H13-1,"")</f>
        <v/>
      </c>
      <c r="J13" s="9" t="inlineStr">
        <is>
          <t>Ciclo di interviste individuali in remoto, condotte da un solo consulente a valle del process design. Sono interviste qualitative volte a raccogliere il punto di vista degli utenti interni sui temi emersi nei workshop e a far emergere frizioni operative non visibili nella mappatura di processo.</t>
        </is>
      </c>
      <c r="K13" s="9" t="inlineStr">
        <is>
          <t>Selezione degli intervistati con il cliente e predisposizione della guida di intervista.</t>
        </is>
      </c>
      <c r="L13" s="9" t="inlineStr">
        <is>
          <t>Sintesi trasversale delle interviste e integrazione delle frizioni nella mappatura di processo.</t>
        </is>
      </c>
      <c r="M13" s="9" t="inlineStr">
        <is>
          <t>Individuazione e disponibilità degli utenti interni da intervistare.</t>
        </is>
      </c>
      <c r="N13" s="9" t="inlineStr">
        <is>
          <t>Frizioni operative rilevate · feedback qualitativi sui temi aperti nel process design.</t>
        </is>
      </c>
      <c r="O13" s="9" t="inlineStr">
        <is>
          <t>Project Manager</t>
        </is>
      </c>
      <c r="P13" s="9" t="inlineStr">
        <is>
          <t>1 consulente RevOps; referenti operativi lato cliente</t>
        </is>
      </c>
      <c r="Q13" s="11" t="n"/>
      <c r="R13" s="13" t="n"/>
      <c r="S13" s="13" t="n"/>
      <c r="T13" s="13" t="n"/>
      <c r="U13" s="13" t="n"/>
      <c r="V13" s="9" t="inlineStr">
        <is>
          <t>1 persona in remoto</t>
        </is>
      </c>
      <c r="W13" s="14">
        <f>IF(COUNT(S13:U13)=0,"",SUM(S13:U13))</f>
        <v/>
      </c>
      <c r="X13" s="14">
        <f>IF(W13="","",W13*Parametri!$C$5)</f>
        <v/>
      </c>
      <c r="Y13" s="15">
        <f>IF(COUNT(S13:U13)=0,"",S13*Parametri!$C$5*Parametri!$C$6+T13*Parametri!$C$5*Parametri!$C$7+U13*Parametri!$C$5*Parametri!$C$8)</f>
        <v/>
      </c>
      <c r="Z13" s="9" t="inlineStr">
        <is>
          <t>Fase separata perché si svolge a valle dei workshop, con un solo consulente impegnato.</t>
        </is>
      </c>
    </row>
    <row r="14" ht="78" customHeight="1">
      <c r="A14" s="8" t="n">
        <v>9</v>
      </c>
      <c r="B14" s="9" t="inlineStr">
        <is>
          <t>1.9</t>
        </is>
      </c>
      <c r="C14" s="10" t="inlineStr">
        <is>
          <t>Sintesi evidenze e business case</t>
        </is>
      </c>
      <c r="D14" s="9" t="inlineStr">
        <is>
          <t>Interna</t>
        </is>
      </c>
      <c r="E14" s="9" t="inlineStr">
        <is>
          <t>Interna</t>
        </is>
      </c>
      <c r="F14" s="9" t="inlineStr">
        <is>
          <t>4 · Sintesi e validazione</t>
        </is>
      </c>
      <c r="G14" s="11" t="n">
        <v>6</v>
      </c>
      <c r="H14" s="11" t="n">
        <v>1</v>
      </c>
      <c r="I14" s="12">
        <f>IF(AND(G14&lt;&gt;"",H14&lt;&gt;""),G14+H14-1,"")</f>
        <v/>
      </c>
      <c r="J14" s="9" t="inlineStr">
        <is>
          <t>Fase interna di ristrutturazione di tutte le evidenze raccolte e di costruzione del piano di lavoro, con elaborazione dei business case a supporto delle iniziative individuate.</t>
        </is>
      </c>
      <c r="K14" s="9" t="inlineStr">
        <is>
          <t>Consolidamento dei file di delivery di tutte le fasi precedenti.</t>
        </is>
      </c>
      <c r="L14" s="9" t="inlineStr">
        <is>
          <t>Predisposizione dei materiali per la review con il cliente.</t>
        </is>
      </c>
      <c r="M14" s="9" t="n"/>
      <c r="N14" s="9" t="inlineStr">
        <is>
          <t>Piano di lavoro strutturato · business case per iniziativa.</t>
        </is>
      </c>
      <c r="O14" s="9" t="inlineStr">
        <is>
          <t>Project Manager</t>
        </is>
      </c>
      <c r="P14" s="9" t="inlineStr">
        <is>
          <t>Team di progetto</t>
        </is>
      </c>
      <c r="Q14" s="11" t="n"/>
      <c r="R14" s="13" t="n"/>
      <c r="S14" s="13" t="n"/>
      <c r="T14" s="13" t="n"/>
      <c r="U14" s="13" t="n"/>
      <c r="V14" s="9" t="n"/>
      <c r="W14" s="14">
        <f>IF(COUNT(S14:U14)=0,"",SUM(S14:U14))</f>
        <v/>
      </c>
      <c r="X14" s="14">
        <f>IF(W14="","",W14*Parametri!$C$5)</f>
        <v/>
      </c>
      <c r="Y14" s="15">
        <f>IF(COUNT(S14:U14)=0,"",S14*Parametri!$C$5*Parametri!$C$6+T14*Parametri!$C$5*Parametri!$C$7+U14*Parametri!$C$5*Parametri!$C$8)</f>
        <v/>
      </c>
      <c r="Z14" s="9" t="n"/>
    </row>
    <row r="15" ht="78" customHeight="1">
      <c r="A15" s="8" t="n">
        <v>10</v>
      </c>
      <c r="B15" s="9" t="inlineStr">
        <is>
          <t>1.10</t>
        </is>
      </c>
      <c r="C15" s="10" t="inlineStr">
        <is>
          <t>Review con il cliente</t>
        </is>
      </c>
      <c r="D15" s="9" t="inlineStr">
        <is>
          <t>Cliente</t>
        </is>
      </c>
      <c r="E15" s="9" t="inlineStr">
        <is>
          <t>Remoto</t>
        </is>
      </c>
      <c r="F15" s="9" t="inlineStr">
        <is>
          <t>4 · Sintesi e validazione</t>
        </is>
      </c>
      <c r="G15" s="11" t="n">
        <v>7</v>
      </c>
      <c r="H15" s="11" t="n">
        <v>1</v>
      </c>
      <c r="I15" s="12">
        <f>IF(AND(G15&lt;&gt;"",H15&lt;&gt;""),G15+H15-1,"")</f>
        <v/>
      </c>
      <c r="J15" s="9" t="inlineStr">
        <is>
          <t>Incontro di validazione con il team di lavoro lato cliente, centrato sui business case costruiti: si verifica l'allineamento su priorità e numeri e si stabilisce se procedere o iterare su specifici ambiti.</t>
        </is>
      </c>
      <c r="K15" s="9" t="inlineStr">
        <is>
          <t>Invio anticipato dei business case per lettura preventiva.</t>
        </is>
      </c>
      <c r="L15" s="9" t="inlineStr">
        <is>
          <t>Recepimento delle iterazioni richieste e aggiornamento del piano di lavoro.</t>
        </is>
      </c>
      <c r="M15" s="9" t="inlineStr">
        <is>
          <t>Presenza dei decisori lato cliente.</t>
        </is>
      </c>
      <c r="N15" s="9" t="inlineStr">
        <is>
          <t>Business case validati oppure lista delle iterazioni richieste.</t>
        </is>
      </c>
      <c r="O15" s="9" t="inlineStr">
        <is>
          <t>Project Manager</t>
        </is>
      </c>
      <c r="P15" s="9" t="inlineStr">
        <is>
          <t>Team di progetto + team di lavoro lato cliente</t>
        </is>
      </c>
      <c r="Q15" s="11" t="n">
        <v>1</v>
      </c>
      <c r="R15" s="13" t="n"/>
      <c r="S15" s="13" t="n"/>
      <c r="T15" s="13" t="n"/>
      <c r="U15" s="13" t="n"/>
      <c r="V15" s="9" t="n"/>
      <c r="W15" s="14">
        <f>IF(COUNT(S15:U15)=0,"",SUM(S15:U15))</f>
        <v/>
      </c>
      <c r="X15" s="14">
        <f>IF(W15="","",W15*Parametri!$C$5)</f>
        <v/>
      </c>
      <c r="Y15" s="15">
        <f>IF(COUNT(S15:U15)=0,"",S15*Parametri!$C$5*Parametri!$C$6+T15*Parametri!$C$5*Parametri!$C$7+U15*Parametri!$C$5*Parametri!$C$8)</f>
        <v/>
      </c>
      <c r="Z15" s="9" t="inlineStr">
        <is>
          <t>GATE DI PROGETTO: il consolidamento del report parte solo a validazione avvenuta.</t>
        </is>
      </c>
    </row>
    <row r="16" ht="78" customHeight="1">
      <c r="A16" s="8" t="n">
        <v>11</v>
      </c>
      <c r="B16" s="9" t="inlineStr">
        <is>
          <t>1.11</t>
        </is>
      </c>
      <c r="C16" s="10" t="inlineStr">
        <is>
          <t>Consolidamento report finale</t>
        </is>
      </c>
      <c r="D16" s="9" t="inlineStr">
        <is>
          <t>Interna</t>
        </is>
      </c>
      <c r="E16" s="9" t="inlineStr">
        <is>
          <t>Interna</t>
        </is>
      </c>
      <c r="F16" s="9" t="inlineStr">
        <is>
          <t>5 · Chiusura</t>
        </is>
      </c>
      <c r="G16" s="11" t="n">
        <v>8</v>
      </c>
      <c r="H16" s="11" t="n">
        <v>2</v>
      </c>
      <c r="I16" s="12">
        <f>IF(AND(G16&lt;&gt;"",H16&lt;&gt;""),G16+H16-1,"")</f>
        <v/>
      </c>
      <c r="J16" s="9" t="inlineStr">
        <is>
          <t>Consolidamento dell'intero assessment nel report finale: stesura delle slide in versione definitiva e valorizzazione economica della roadmap di progetto.</t>
        </is>
      </c>
      <c r="K16" s="9" t="inlineStr">
        <is>
          <t>Recepimento degli esiti della review con il cliente.</t>
        </is>
      </c>
      <c r="L16" s="9" t="inlineStr">
        <is>
          <t>Condivisione anticipata del report con i referenti prima della presentazione.</t>
        </is>
      </c>
      <c r="M16" s="9" t="n"/>
      <c r="N16" s="9" t="inlineStr">
        <is>
          <t>Report finale di assessment · roadmap di progetto valorizzata economicamente.</t>
        </is>
      </c>
      <c r="O16" s="9" t="inlineStr">
        <is>
          <t>Project Manager</t>
        </is>
      </c>
      <c r="P16" s="9" t="inlineStr">
        <is>
          <t>Team di progetto</t>
        </is>
      </c>
      <c r="Q16" s="11" t="n"/>
      <c r="R16" s="13" t="n"/>
      <c r="S16" s="13" t="n"/>
      <c r="T16" s="13" t="n"/>
      <c r="U16" s="13" t="n"/>
      <c r="V16" s="9" t="n"/>
      <c r="W16" s="14">
        <f>IF(COUNT(S16:U16)=0,"",SUM(S16:U16))</f>
        <v/>
      </c>
      <c r="X16" s="14">
        <f>IF(W16="","",W16*Parametri!$C$5)</f>
        <v/>
      </c>
      <c r="Y16" s="15">
        <f>IF(COUNT(S16:U16)=0,"",S16*Parametri!$C$5*Parametri!$C$6+T16*Parametri!$C$5*Parametri!$C$7+U16*Parametri!$C$5*Parametri!$C$8)</f>
        <v/>
      </c>
      <c r="Z16" s="9" t="n"/>
    </row>
    <row r="17" ht="78" customHeight="1">
      <c r="A17" s="8" t="n">
        <v>12</v>
      </c>
      <c r="B17" s="9" t="inlineStr">
        <is>
          <t>1.12</t>
        </is>
      </c>
      <c r="C17" s="10" t="inlineStr">
        <is>
          <t>Presentazione assessment</t>
        </is>
      </c>
      <c r="D17" s="9" t="inlineStr">
        <is>
          <t>Cliente</t>
        </is>
      </c>
      <c r="E17" s="9" t="inlineStr">
        <is>
          <t>Da definire</t>
        </is>
      </c>
      <c r="F17" s="9" t="inlineStr">
        <is>
          <t>5 · Chiusura</t>
        </is>
      </c>
      <c r="G17" s="11" t="n">
        <v>10</v>
      </c>
      <c r="H17" s="11" t="n">
        <v>1</v>
      </c>
      <c r="I17" s="12">
        <f>IF(AND(G17&lt;&gt;"",H17&lt;&gt;""),G17+H17-1,"")</f>
        <v/>
      </c>
      <c r="J17" s="9" t="inlineStr">
        <is>
          <t>Presentazione al cliente del report finale di assessment, della roadmap e della relativa valorizzazione economica, come passaggio di consegna verso la fase successiva.</t>
        </is>
      </c>
      <c r="K17" s="9" t="inlineStr">
        <is>
          <t>Allineamento sull'agenda e sui partecipanti lato cliente.</t>
        </is>
      </c>
      <c r="L17" s="9" t="inlineStr">
        <is>
          <t>Consegna formale del report e apertura del confronto sulla fase successiva.</t>
        </is>
      </c>
      <c r="M17" s="9" t="inlineStr">
        <is>
          <t>Presenza dei decisori lato cliente.</t>
        </is>
      </c>
      <c r="N17" s="9" t="inlineStr">
        <is>
          <t>Assessment consegnato · roadmap valorizzata condivisa · next step definiti.</t>
        </is>
      </c>
      <c r="O17" s="9" t="inlineStr">
        <is>
          <t>Project Manager</t>
        </is>
      </c>
      <c r="P17" s="9" t="inlineStr">
        <is>
          <t>Team di progetto + decisori lato cliente</t>
        </is>
      </c>
      <c r="Q17" s="11" t="n">
        <v>1</v>
      </c>
      <c r="R17" s="13" t="n"/>
      <c r="S17" s="13" t="n"/>
      <c r="T17" s="13" t="n"/>
      <c r="U17" s="13" t="n"/>
      <c r="V17" s="9" t="n"/>
      <c r="W17" s="14">
        <f>IF(COUNT(S17:U17)=0,"",SUM(S17:U17))</f>
        <v/>
      </c>
      <c r="X17" s="14">
        <f>IF(W17="","",W17*Parametri!$C$5)</f>
        <v/>
      </c>
      <c r="Y17" s="15">
        <f>IF(COUNT(S17:U17)=0,"",S17*Parametri!$C$5*Parametri!$C$6+T17*Parametri!$C$5*Parametri!$C$7+U17*Parametri!$C$5*Parametri!$C$8)</f>
        <v/>
      </c>
      <c r="Z17" s="9" t="inlineStr">
        <is>
          <t>Modalità (presenza / remoto) da definire.</t>
        </is>
      </c>
    </row>
    <row r="18" ht="22" customHeight="1">
      <c r="A18" s="16" t="inlineStr">
        <is>
          <t>TOTALE PROGETTO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7" t="n"/>
      <c r="R18" s="16" t="n"/>
      <c r="S18" s="18">
        <f>SUM(S6:S17)</f>
        <v/>
      </c>
      <c r="T18" s="18">
        <f>SUM(T6:T17)</f>
        <v/>
      </c>
      <c r="U18" s="18">
        <f>SUM(U6:U17)</f>
        <v/>
      </c>
      <c r="V18" s="16" t="n"/>
      <c r="W18" s="18">
        <f>SUM(W6:W17)</f>
        <v/>
      </c>
      <c r="X18" s="18">
        <f>SUM(X6:X17)</f>
        <v/>
      </c>
      <c r="Y18" s="19">
        <f>SUM(Y6:Y17)</f>
        <v/>
      </c>
      <c r="Z18" s="16" t="n"/>
    </row>
    <row r="20">
      <c r="A20" s="20" t="inlineStr">
        <is>
          <t>ESEMPIO DI COMPILAZIONE — riga dimostrativa, NON conteggiata nei totali. Mostra il formato atteso per le colonne numeriche.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44" customHeight="1">
      <c r="A21" s="22" t="inlineStr">
        <is>
          <t>es.</t>
        </is>
      </c>
      <c r="B21" s="23" t="inlineStr">
        <is>
          <t>1.x</t>
        </is>
      </c>
      <c r="C21" s="23" t="inlineStr">
        <is>
          <t>Nome della fase</t>
        </is>
      </c>
      <c r="D21" s="23" t="inlineStr">
        <is>
          <t>Cliente</t>
        </is>
      </c>
      <c r="E21" s="23" t="inlineStr">
        <is>
          <t>In presenza</t>
        </is>
      </c>
      <c r="F21" s="23" t="inlineStr">
        <is>
          <t>2 · Workshop in parallelo</t>
        </is>
      </c>
      <c r="G21" s="24" t="n">
        <v>3</v>
      </c>
      <c r="H21" s="24" t="n">
        <v>2</v>
      </c>
      <c r="I21" s="24">
        <f>G21+H21-1</f>
        <v/>
      </c>
      <c r="J21" s="23" t="inlineStr">
        <is>
          <t>Descrizione sintetica di cosa avviene nella fase.</t>
        </is>
      </c>
      <c r="K21" s="23" t="inlineStr">
        <is>
          <t>Cosa si fa prima.</t>
        </is>
      </c>
      <c r="L21" s="23" t="inlineStr">
        <is>
          <t>Cosa si fa dopo.</t>
        </is>
      </c>
      <c r="M21" s="23" t="inlineStr">
        <is>
          <t>Cosa serve dal cliente.</t>
        </is>
      </c>
      <c r="N21" s="23" t="inlineStr">
        <is>
          <t>Cosa esce dalla fase.</t>
        </is>
      </c>
      <c r="O21" s="23" t="inlineStr">
        <is>
          <t>Project Manager</t>
        </is>
      </c>
      <c r="P21" s="23" t="inlineStr">
        <is>
          <t>Facilitatore senior + 2 consulenti junior</t>
        </is>
      </c>
      <c r="Q21" s="24" t="n">
        <v>2</v>
      </c>
      <c r="R21" s="25" t="n">
        <v>4</v>
      </c>
      <c r="S21" s="25" t="n">
        <v>1.5</v>
      </c>
      <c r="T21" s="25" t="n">
        <v>2</v>
      </c>
      <c r="U21" s="25" t="n">
        <v>0.5</v>
      </c>
      <c r="V21" s="23" t="inlineStr">
        <is>
          <t>3 persone in presenza, 1 sola lavora in back office</t>
        </is>
      </c>
      <c r="W21" s="25">
        <f>SUM(S21:U21)</f>
        <v/>
      </c>
      <c r="X21" s="25">
        <f>W21*Parametri!$C$5</f>
        <v/>
      </c>
      <c r="Y21" s="26">
        <f>S21*Parametri!$C$5*Parametri!$C$6+T21*Parametri!$C$5*Parametri!$C$7+U21*Parametri!$C$5*Parametri!$C$8</f>
        <v/>
      </c>
      <c r="Z21" s="23" t="inlineStr">
        <is>
          <t>1,5 gg front = 3 consulenti per mezza giornata + 3 consulenti per mezza giornata.</t>
        </is>
      </c>
    </row>
  </sheetData>
  <autoFilter ref="A5:Z17"/>
  <mergeCells count="5">
    <mergeCell ref="A1:Z1"/>
    <mergeCell ref="A3:Z3"/>
    <mergeCell ref="A20:Z20"/>
    <mergeCell ref="A2:Z2"/>
    <mergeCell ref="A18:R18"/>
  </mergeCells>
  <dataValidations count="2">
    <dataValidation sqref="D6:D17" showDropDown="0" showInputMessage="0" showErrorMessage="0" allowBlank="1" type="list">
      <formula1>"Cliente,Interna"</formula1>
    </dataValidation>
    <dataValidation sqref="E6:E17" showDropDown="0" showInputMessage="0" showErrorMessage="0" allowBlank="1" type="list">
      <formula1>"In presenza,Remoto,Interna,Da definire"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1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24" customWidth="1" min="4" max="4"/>
    <col width="8" customWidth="1" min="5" max="5"/>
    <col width="8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</cols>
  <sheetData>
    <row r="1" ht="26" customHeight="1">
      <c r="A1" s="1" t="inlineStr">
        <is>
          <t>›  TIMELINE DI PROGETTO — SOVRAPPOSIZIONE DELLE FASI PER SETTIMANA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4" customHeight="1">
      <c r="A2" s="3" t="inlineStr">
        <is>
          <t>Le barre si disegnano da sole dalle settimane impostate nella WBS: qui non si scrive nulla. GIALLO = le fasi che si svolgono nelle STESSE settimane, in parallelo. NERO = altra fase con il cliente. GRIGIO = fase interna. La riga in fondo conta quante fasi sono attive in ciascuna settimana.</t>
        </is>
      </c>
    </row>
    <row r="4" ht="24" customHeight="1">
      <c r="A4" s="6" t="inlineStr">
        <is>
          <t>#</t>
        </is>
      </c>
      <c r="B4" s="6" t="inlineStr">
        <is>
          <t>Fase</t>
        </is>
      </c>
      <c r="C4" s="6" t="inlineStr">
        <is>
          <t>Tipo</t>
        </is>
      </c>
      <c r="D4" s="6" t="inlineStr">
        <is>
          <t>Blocco</t>
        </is>
      </c>
      <c r="E4" s="6" t="inlineStr">
        <is>
          <t>Da
sett.</t>
        </is>
      </c>
      <c r="F4" s="6" t="inlineStr">
        <is>
          <t>A
sett.</t>
        </is>
      </c>
      <c r="G4" s="27" t="n">
        <v>1</v>
      </c>
      <c r="H4" s="27" t="n">
        <v>2</v>
      </c>
      <c r="I4" s="27" t="n">
        <v>3</v>
      </c>
      <c r="J4" s="27" t="n">
        <v>4</v>
      </c>
      <c r="K4" s="27" t="n">
        <v>5</v>
      </c>
      <c r="L4" s="27" t="n">
        <v>6</v>
      </c>
      <c r="M4" s="27" t="n">
        <v>7</v>
      </c>
      <c r="N4" s="27" t="n">
        <v>8</v>
      </c>
      <c r="O4" s="27" t="n">
        <v>9</v>
      </c>
      <c r="P4" s="27" t="n">
        <v>10</v>
      </c>
      <c r="Q4" s="27" t="n">
        <v>11</v>
      </c>
      <c r="R4" s="27" t="n">
        <v>12</v>
      </c>
    </row>
    <row r="5" ht="18" customHeight="1">
      <c r="A5" s="28" t="inlineStr">
        <is>
          <t>Settimane con fasi in parallelo  ›</t>
        </is>
      </c>
      <c r="G5" s="29">
        <f>IF(G18&gt;1,"›","")</f>
        <v/>
      </c>
      <c r="H5" s="29">
        <f>IF(H18&gt;1,"›","")</f>
        <v/>
      </c>
      <c r="I5" s="29">
        <f>IF(I18&gt;1,"›","")</f>
        <v/>
      </c>
      <c r="J5" s="29">
        <f>IF(J18&gt;1,"›","")</f>
        <v/>
      </c>
      <c r="K5" s="29">
        <f>IF(K18&gt;1,"›","")</f>
        <v/>
      </c>
      <c r="L5" s="29">
        <f>IF(L18&gt;1,"›","")</f>
        <v/>
      </c>
      <c r="M5" s="29">
        <f>IF(M18&gt;1,"›","")</f>
        <v/>
      </c>
      <c r="N5" s="29">
        <f>IF(N18&gt;1,"›","")</f>
        <v/>
      </c>
      <c r="O5" s="29">
        <f>IF(O18&gt;1,"›","")</f>
        <v/>
      </c>
      <c r="P5" s="29">
        <f>IF(P18&gt;1,"›","")</f>
        <v/>
      </c>
      <c r="Q5" s="29">
        <f>IF(Q18&gt;1,"›","")</f>
        <v/>
      </c>
      <c r="R5" s="29">
        <f>IF(R18&gt;1,"›","")</f>
        <v/>
      </c>
    </row>
    <row r="6" ht="22" customHeight="1">
      <c r="A6" s="30">
        <f>WBS!A6</f>
        <v/>
      </c>
      <c r="B6" s="31">
        <f>WBS!C6</f>
        <v/>
      </c>
      <c r="C6" s="32">
        <f>WBS!D6</f>
        <v/>
      </c>
      <c r="D6" s="33">
        <f>WBS!F6</f>
        <v/>
      </c>
      <c r="E6" s="30">
        <f>WBS!G6</f>
        <v/>
      </c>
      <c r="F6" s="30">
        <f>WBS!I6</f>
        <v/>
      </c>
      <c r="G6" s="34">
        <f>IF(AND($E6&lt;&gt;"",$F6&lt;&gt;"",$E6&lt;=G$4,$F6&gt;=G$4),1,"")</f>
        <v/>
      </c>
      <c r="H6" s="34">
        <f>IF(AND($E6&lt;&gt;"",$F6&lt;&gt;"",$E6&lt;=H$4,$F6&gt;=H$4),1,"")</f>
        <v/>
      </c>
      <c r="I6" s="34">
        <f>IF(AND($E6&lt;&gt;"",$F6&lt;&gt;"",$E6&lt;=I$4,$F6&gt;=I$4),1,"")</f>
        <v/>
      </c>
      <c r="J6" s="34">
        <f>IF(AND($E6&lt;&gt;"",$F6&lt;&gt;"",$E6&lt;=J$4,$F6&gt;=J$4),1,"")</f>
        <v/>
      </c>
      <c r="K6" s="34">
        <f>IF(AND($E6&lt;&gt;"",$F6&lt;&gt;"",$E6&lt;=K$4,$F6&gt;=K$4),1,"")</f>
        <v/>
      </c>
      <c r="L6" s="34">
        <f>IF(AND($E6&lt;&gt;"",$F6&lt;&gt;"",$E6&lt;=L$4,$F6&gt;=L$4),1,"")</f>
        <v/>
      </c>
      <c r="M6" s="34">
        <f>IF(AND($E6&lt;&gt;"",$F6&lt;&gt;"",$E6&lt;=M$4,$F6&gt;=M$4),1,"")</f>
        <v/>
      </c>
      <c r="N6" s="34">
        <f>IF(AND($E6&lt;&gt;"",$F6&lt;&gt;"",$E6&lt;=N$4,$F6&gt;=N$4),1,"")</f>
        <v/>
      </c>
      <c r="O6" s="34">
        <f>IF(AND($E6&lt;&gt;"",$F6&lt;&gt;"",$E6&lt;=O$4,$F6&gt;=O$4),1,"")</f>
        <v/>
      </c>
      <c r="P6" s="34">
        <f>IF(AND($E6&lt;&gt;"",$F6&lt;&gt;"",$E6&lt;=P$4,$F6&gt;=P$4),1,"")</f>
        <v/>
      </c>
      <c r="Q6" s="34">
        <f>IF(AND($E6&lt;&gt;"",$F6&lt;&gt;"",$E6&lt;=Q$4,$F6&gt;=Q$4),1,"")</f>
        <v/>
      </c>
      <c r="R6" s="34">
        <f>IF(AND($E6&lt;&gt;"",$F6&lt;&gt;"",$E6&lt;=R$4,$F6&gt;=R$4),1,"")</f>
        <v/>
      </c>
    </row>
    <row r="7" ht="22" customHeight="1">
      <c r="A7" s="30">
        <f>WBS!A7</f>
        <v/>
      </c>
      <c r="B7" s="31">
        <f>WBS!C7</f>
        <v/>
      </c>
      <c r="C7" s="32">
        <f>WBS!D7</f>
        <v/>
      </c>
      <c r="D7" s="33">
        <f>WBS!F7</f>
        <v/>
      </c>
      <c r="E7" s="30">
        <f>WBS!G7</f>
        <v/>
      </c>
      <c r="F7" s="30">
        <f>WBS!I7</f>
        <v/>
      </c>
      <c r="G7" s="34">
        <f>IF(AND($E7&lt;&gt;"",$F7&lt;&gt;"",$E7&lt;=G$4,$F7&gt;=G$4),1,"")</f>
        <v/>
      </c>
      <c r="H7" s="34">
        <f>IF(AND($E7&lt;&gt;"",$F7&lt;&gt;"",$E7&lt;=H$4,$F7&gt;=H$4),1,"")</f>
        <v/>
      </c>
      <c r="I7" s="34">
        <f>IF(AND($E7&lt;&gt;"",$F7&lt;&gt;"",$E7&lt;=I$4,$F7&gt;=I$4),1,"")</f>
        <v/>
      </c>
      <c r="J7" s="34">
        <f>IF(AND($E7&lt;&gt;"",$F7&lt;&gt;"",$E7&lt;=J$4,$F7&gt;=J$4),1,"")</f>
        <v/>
      </c>
      <c r="K7" s="34">
        <f>IF(AND($E7&lt;&gt;"",$F7&lt;&gt;"",$E7&lt;=K$4,$F7&gt;=K$4),1,"")</f>
        <v/>
      </c>
      <c r="L7" s="34">
        <f>IF(AND($E7&lt;&gt;"",$F7&lt;&gt;"",$E7&lt;=L$4,$F7&gt;=L$4),1,"")</f>
        <v/>
      </c>
      <c r="M7" s="34">
        <f>IF(AND($E7&lt;&gt;"",$F7&lt;&gt;"",$E7&lt;=M$4,$F7&gt;=M$4),1,"")</f>
        <v/>
      </c>
      <c r="N7" s="34">
        <f>IF(AND($E7&lt;&gt;"",$F7&lt;&gt;"",$E7&lt;=N$4,$F7&gt;=N$4),1,"")</f>
        <v/>
      </c>
      <c r="O7" s="34">
        <f>IF(AND($E7&lt;&gt;"",$F7&lt;&gt;"",$E7&lt;=O$4,$F7&gt;=O$4),1,"")</f>
        <v/>
      </c>
      <c r="P7" s="34">
        <f>IF(AND($E7&lt;&gt;"",$F7&lt;&gt;"",$E7&lt;=P$4,$F7&gt;=P$4),1,"")</f>
        <v/>
      </c>
      <c r="Q7" s="34">
        <f>IF(AND($E7&lt;&gt;"",$F7&lt;&gt;"",$E7&lt;=Q$4,$F7&gt;=Q$4),1,"")</f>
        <v/>
      </c>
      <c r="R7" s="34">
        <f>IF(AND($E7&lt;&gt;"",$F7&lt;&gt;"",$E7&lt;=R$4,$F7&gt;=R$4),1,"")</f>
        <v/>
      </c>
    </row>
    <row r="8" ht="22" customHeight="1">
      <c r="A8" s="30">
        <f>WBS!A8</f>
        <v/>
      </c>
      <c r="B8" s="31">
        <f>WBS!C8</f>
        <v/>
      </c>
      <c r="C8" s="32">
        <f>WBS!D8</f>
        <v/>
      </c>
      <c r="D8" s="33">
        <f>WBS!F8</f>
        <v/>
      </c>
      <c r="E8" s="30">
        <f>WBS!G8</f>
        <v/>
      </c>
      <c r="F8" s="30">
        <f>WBS!I8</f>
        <v/>
      </c>
      <c r="G8" s="34">
        <f>IF(AND($E8&lt;&gt;"",$F8&lt;&gt;"",$E8&lt;=G$4,$F8&gt;=G$4),1,"")</f>
        <v/>
      </c>
      <c r="H8" s="34">
        <f>IF(AND($E8&lt;&gt;"",$F8&lt;&gt;"",$E8&lt;=H$4,$F8&gt;=H$4),1,"")</f>
        <v/>
      </c>
      <c r="I8" s="34">
        <f>IF(AND($E8&lt;&gt;"",$F8&lt;&gt;"",$E8&lt;=I$4,$F8&gt;=I$4),1,"")</f>
        <v/>
      </c>
      <c r="J8" s="34">
        <f>IF(AND($E8&lt;&gt;"",$F8&lt;&gt;"",$E8&lt;=J$4,$F8&gt;=J$4),1,"")</f>
        <v/>
      </c>
      <c r="K8" s="34">
        <f>IF(AND($E8&lt;&gt;"",$F8&lt;&gt;"",$E8&lt;=K$4,$F8&gt;=K$4),1,"")</f>
        <v/>
      </c>
      <c r="L8" s="34">
        <f>IF(AND($E8&lt;&gt;"",$F8&lt;&gt;"",$E8&lt;=L$4,$F8&gt;=L$4),1,"")</f>
        <v/>
      </c>
      <c r="M8" s="34">
        <f>IF(AND($E8&lt;&gt;"",$F8&lt;&gt;"",$E8&lt;=M$4,$F8&gt;=M$4),1,"")</f>
        <v/>
      </c>
      <c r="N8" s="34">
        <f>IF(AND($E8&lt;&gt;"",$F8&lt;&gt;"",$E8&lt;=N$4,$F8&gt;=N$4),1,"")</f>
        <v/>
      </c>
      <c r="O8" s="34">
        <f>IF(AND($E8&lt;&gt;"",$F8&lt;&gt;"",$E8&lt;=O$4,$F8&gt;=O$4),1,"")</f>
        <v/>
      </c>
      <c r="P8" s="34">
        <f>IF(AND($E8&lt;&gt;"",$F8&lt;&gt;"",$E8&lt;=P$4,$F8&gt;=P$4),1,"")</f>
        <v/>
      </c>
      <c r="Q8" s="34">
        <f>IF(AND($E8&lt;&gt;"",$F8&lt;&gt;"",$E8&lt;=Q$4,$F8&gt;=Q$4),1,"")</f>
        <v/>
      </c>
      <c r="R8" s="34">
        <f>IF(AND($E8&lt;&gt;"",$F8&lt;&gt;"",$E8&lt;=R$4,$F8&gt;=R$4),1,"")</f>
        <v/>
      </c>
    </row>
    <row r="9" ht="22" customHeight="1">
      <c r="A9" s="30">
        <f>WBS!A9</f>
        <v/>
      </c>
      <c r="B9" s="31">
        <f>WBS!C9</f>
        <v/>
      </c>
      <c r="C9" s="32">
        <f>WBS!D9</f>
        <v/>
      </c>
      <c r="D9" s="33">
        <f>WBS!F9</f>
        <v/>
      </c>
      <c r="E9" s="30">
        <f>WBS!G9</f>
        <v/>
      </c>
      <c r="F9" s="30">
        <f>WBS!I9</f>
        <v/>
      </c>
      <c r="G9" s="34">
        <f>IF(AND($E9&lt;&gt;"",$F9&lt;&gt;"",$E9&lt;=G$4,$F9&gt;=G$4),1,"")</f>
        <v/>
      </c>
      <c r="H9" s="34">
        <f>IF(AND($E9&lt;&gt;"",$F9&lt;&gt;"",$E9&lt;=H$4,$F9&gt;=H$4),1,"")</f>
        <v/>
      </c>
      <c r="I9" s="34">
        <f>IF(AND($E9&lt;&gt;"",$F9&lt;&gt;"",$E9&lt;=I$4,$F9&gt;=I$4),1,"")</f>
        <v/>
      </c>
      <c r="J9" s="34">
        <f>IF(AND($E9&lt;&gt;"",$F9&lt;&gt;"",$E9&lt;=J$4,$F9&gt;=J$4),1,"")</f>
        <v/>
      </c>
      <c r="K9" s="34">
        <f>IF(AND($E9&lt;&gt;"",$F9&lt;&gt;"",$E9&lt;=K$4,$F9&gt;=K$4),1,"")</f>
        <v/>
      </c>
      <c r="L9" s="34">
        <f>IF(AND($E9&lt;&gt;"",$F9&lt;&gt;"",$E9&lt;=L$4,$F9&gt;=L$4),1,"")</f>
        <v/>
      </c>
      <c r="M9" s="34">
        <f>IF(AND($E9&lt;&gt;"",$F9&lt;&gt;"",$E9&lt;=M$4,$F9&gt;=M$4),1,"")</f>
        <v/>
      </c>
      <c r="N9" s="34">
        <f>IF(AND($E9&lt;&gt;"",$F9&lt;&gt;"",$E9&lt;=N$4,$F9&gt;=N$4),1,"")</f>
        <v/>
      </c>
      <c r="O9" s="34">
        <f>IF(AND($E9&lt;&gt;"",$F9&lt;&gt;"",$E9&lt;=O$4,$F9&gt;=O$4),1,"")</f>
        <v/>
      </c>
      <c r="P9" s="34">
        <f>IF(AND($E9&lt;&gt;"",$F9&lt;&gt;"",$E9&lt;=P$4,$F9&gt;=P$4),1,"")</f>
        <v/>
      </c>
      <c r="Q9" s="34">
        <f>IF(AND($E9&lt;&gt;"",$F9&lt;&gt;"",$E9&lt;=Q$4,$F9&gt;=Q$4),1,"")</f>
        <v/>
      </c>
      <c r="R9" s="34">
        <f>IF(AND($E9&lt;&gt;"",$F9&lt;&gt;"",$E9&lt;=R$4,$F9&gt;=R$4),1,"")</f>
        <v/>
      </c>
    </row>
    <row r="10" ht="22" customHeight="1">
      <c r="A10" s="30">
        <f>WBS!A10</f>
        <v/>
      </c>
      <c r="B10" s="31">
        <f>WBS!C10</f>
        <v/>
      </c>
      <c r="C10" s="32">
        <f>WBS!D10</f>
        <v/>
      </c>
      <c r="D10" s="33">
        <f>WBS!F10</f>
        <v/>
      </c>
      <c r="E10" s="30">
        <f>WBS!G10</f>
        <v/>
      </c>
      <c r="F10" s="30">
        <f>WBS!I10</f>
        <v/>
      </c>
      <c r="G10" s="34">
        <f>IF(AND($E10&lt;&gt;"",$F10&lt;&gt;"",$E10&lt;=G$4,$F10&gt;=G$4),1,"")</f>
        <v/>
      </c>
      <c r="H10" s="34">
        <f>IF(AND($E10&lt;&gt;"",$F10&lt;&gt;"",$E10&lt;=H$4,$F10&gt;=H$4),1,"")</f>
        <v/>
      </c>
      <c r="I10" s="34">
        <f>IF(AND($E10&lt;&gt;"",$F10&lt;&gt;"",$E10&lt;=I$4,$F10&gt;=I$4),1,"")</f>
        <v/>
      </c>
      <c r="J10" s="34">
        <f>IF(AND($E10&lt;&gt;"",$F10&lt;&gt;"",$E10&lt;=J$4,$F10&gt;=J$4),1,"")</f>
        <v/>
      </c>
      <c r="K10" s="34">
        <f>IF(AND($E10&lt;&gt;"",$F10&lt;&gt;"",$E10&lt;=K$4,$F10&gt;=K$4),1,"")</f>
        <v/>
      </c>
      <c r="L10" s="34">
        <f>IF(AND($E10&lt;&gt;"",$F10&lt;&gt;"",$E10&lt;=L$4,$F10&gt;=L$4),1,"")</f>
        <v/>
      </c>
      <c r="M10" s="34">
        <f>IF(AND($E10&lt;&gt;"",$F10&lt;&gt;"",$E10&lt;=M$4,$F10&gt;=M$4),1,"")</f>
        <v/>
      </c>
      <c r="N10" s="34">
        <f>IF(AND($E10&lt;&gt;"",$F10&lt;&gt;"",$E10&lt;=N$4,$F10&gt;=N$4),1,"")</f>
        <v/>
      </c>
      <c r="O10" s="34">
        <f>IF(AND($E10&lt;&gt;"",$F10&lt;&gt;"",$E10&lt;=O$4,$F10&gt;=O$4),1,"")</f>
        <v/>
      </c>
      <c r="P10" s="34">
        <f>IF(AND($E10&lt;&gt;"",$F10&lt;&gt;"",$E10&lt;=P$4,$F10&gt;=P$4),1,"")</f>
        <v/>
      </c>
      <c r="Q10" s="34">
        <f>IF(AND($E10&lt;&gt;"",$F10&lt;&gt;"",$E10&lt;=Q$4,$F10&gt;=Q$4),1,"")</f>
        <v/>
      </c>
      <c r="R10" s="34">
        <f>IF(AND($E10&lt;&gt;"",$F10&lt;&gt;"",$E10&lt;=R$4,$F10&gt;=R$4),1,"")</f>
        <v/>
      </c>
    </row>
    <row r="11" ht="22" customHeight="1">
      <c r="A11" s="30">
        <f>WBS!A11</f>
        <v/>
      </c>
      <c r="B11" s="31">
        <f>WBS!C11</f>
        <v/>
      </c>
      <c r="C11" s="32">
        <f>WBS!D11</f>
        <v/>
      </c>
      <c r="D11" s="33">
        <f>WBS!F11</f>
        <v/>
      </c>
      <c r="E11" s="30">
        <f>WBS!G11</f>
        <v/>
      </c>
      <c r="F11" s="30">
        <f>WBS!I11</f>
        <v/>
      </c>
      <c r="G11" s="34">
        <f>IF(AND($E11&lt;&gt;"",$F11&lt;&gt;"",$E11&lt;=G$4,$F11&gt;=G$4),1,"")</f>
        <v/>
      </c>
      <c r="H11" s="34">
        <f>IF(AND($E11&lt;&gt;"",$F11&lt;&gt;"",$E11&lt;=H$4,$F11&gt;=H$4),1,"")</f>
        <v/>
      </c>
      <c r="I11" s="34">
        <f>IF(AND($E11&lt;&gt;"",$F11&lt;&gt;"",$E11&lt;=I$4,$F11&gt;=I$4),1,"")</f>
        <v/>
      </c>
      <c r="J11" s="34">
        <f>IF(AND($E11&lt;&gt;"",$F11&lt;&gt;"",$E11&lt;=J$4,$F11&gt;=J$4),1,"")</f>
        <v/>
      </c>
      <c r="K11" s="34">
        <f>IF(AND($E11&lt;&gt;"",$F11&lt;&gt;"",$E11&lt;=K$4,$F11&gt;=K$4),1,"")</f>
        <v/>
      </c>
      <c r="L11" s="34">
        <f>IF(AND($E11&lt;&gt;"",$F11&lt;&gt;"",$E11&lt;=L$4,$F11&gt;=L$4),1,"")</f>
        <v/>
      </c>
      <c r="M11" s="34">
        <f>IF(AND($E11&lt;&gt;"",$F11&lt;&gt;"",$E11&lt;=M$4,$F11&gt;=M$4),1,"")</f>
        <v/>
      </c>
      <c r="N11" s="34">
        <f>IF(AND($E11&lt;&gt;"",$F11&lt;&gt;"",$E11&lt;=N$4,$F11&gt;=N$4),1,"")</f>
        <v/>
      </c>
      <c r="O11" s="34">
        <f>IF(AND($E11&lt;&gt;"",$F11&lt;&gt;"",$E11&lt;=O$4,$F11&gt;=O$4),1,"")</f>
        <v/>
      </c>
      <c r="P11" s="34">
        <f>IF(AND($E11&lt;&gt;"",$F11&lt;&gt;"",$E11&lt;=P$4,$F11&gt;=P$4),1,"")</f>
        <v/>
      </c>
      <c r="Q11" s="34">
        <f>IF(AND($E11&lt;&gt;"",$F11&lt;&gt;"",$E11&lt;=Q$4,$F11&gt;=Q$4),1,"")</f>
        <v/>
      </c>
      <c r="R11" s="34">
        <f>IF(AND($E11&lt;&gt;"",$F11&lt;&gt;"",$E11&lt;=R$4,$F11&gt;=R$4),1,"")</f>
        <v/>
      </c>
    </row>
    <row r="12" ht="22" customHeight="1">
      <c r="A12" s="30">
        <f>WBS!A12</f>
        <v/>
      </c>
      <c r="B12" s="31">
        <f>WBS!C12</f>
        <v/>
      </c>
      <c r="C12" s="32">
        <f>WBS!D12</f>
        <v/>
      </c>
      <c r="D12" s="33">
        <f>WBS!F12</f>
        <v/>
      </c>
      <c r="E12" s="30">
        <f>WBS!G12</f>
        <v/>
      </c>
      <c r="F12" s="30">
        <f>WBS!I12</f>
        <v/>
      </c>
      <c r="G12" s="34">
        <f>IF(AND($E12&lt;&gt;"",$F12&lt;&gt;"",$E12&lt;=G$4,$F12&gt;=G$4),1,"")</f>
        <v/>
      </c>
      <c r="H12" s="34">
        <f>IF(AND($E12&lt;&gt;"",$F12&lt;&gt;"",$E12&lt;=H$4,$F12&gt;=H$4),1,"")</f>
        <v/>
      </c>
      <c r="I12" s="34">
        <f>IF(AND($E12&lt;&gt;"",$F12&lt;&gt;"",$E12&lt;=I$4,$F12&gt;=I$4),1,"")</f>
        <v/>
      </c>
      <c r="J12" s="34">
        <f>IF(AND($E12&lt;&gt;"",$F12&lt;&gt;"",$E12&lt;=J$4,$F12&gt;=J$4),1,"")</f>
        <v/>
      </c>
      <c r="K12" s="34">
        <f>IF(AND($E12&lt;&gt;"",$F12&lt;&gt;"",$E12&lt;=K$4,$F12&gt;=K$4),1,"")</f>
        <v/>
      </c>
      <c r="L12" s="34">
        <f>IF(AND($E12&lt;&gt;"",$F12&lt;&gt;"",$E12&lt;=L$4,$F12&gt;=L$4),1,"")</f>
        <v/>
      </c>
      <c r="M12" s="34">
        <f>IF(AND($E12&lt;&gt;"",$F12&lt;&gt;"",$E12&lt;=M$4,$F12&gt;=M$4),1,"")</f>
        <v/>
      </c>
      <c r="N12" s="34">
        <f>IF(AND($E12&lt;&gt;"",$F12&lt;&gt;"",$E12&lt;=N$4,$F12&gt;=N$4),1,"")</f>
        <v/>
      </c>
      <c r="O12" s="34">
        <f>IF(AND($E12&lt;&gt;"",$F12&lt;&gt;"",$E12&lt;=O$4,$F12&gt;=O$4),1,"")</f>
        <v/>
      </c>
      <c r="P12" s="34">
        <f>IF(AND($E12&lt;&gt;"",$F12&lt;&gt;"",$E12&lt;=P$4,$F12&gt;=P$4),1,"")</f>
        <v/>
      </c>
      <c r="Q12" s="34">
        <f>IF(AND($E12&lt;&gt;"",$F12&lt;&gt;"",$E12&lt;=Q$4,$F12&gt;=Q$4),1,"")</f>
        <v/>
      </c>
      <c r="R12" s="34">
        <f>IF(AND($E12&lt;&gt;"",$F12&lt;&gt;"",$E12&lt;=R$4,$F12&gt;=R$4),1,"")</f>
        <v/>
      </c>
    </row>
    <row r="13" ht="22" customHeight="1">
      <c r="A13" s="30">
        <f>WBS!A13</f>
        <v/>
      </c>
      <c r="B13" s="31">
        <f>WBS!C13</f>
        <v/>
      </c>
      <c r="C13" s="32">
        <f>WBS!D13</f>
        <v/>
      </c>
      <c r="D13" s="33">
        <f>WBS!F13</f>
        <v/>
      </c>
      <c r="E13" s="30">
        <f>WBS!G13</f>
        <v/>
      </c>
      <c r="F13" s="30">
        <f>WBS!I13</f>
        <v/>
      </c>
      <c r="G13" s="34">
        <f>IF(AND($E13&lt;&gt;"",$F13&lt;&gt;"",$E13&lt;=G$4,$F13&gt;=G$4),1,"")</f>
        <v/>
      </c>
      <c r="H13" s="34">
        <f>IF(AND($E13&lt;&gt;"",$F13&lt;&gt;"",$E13&lt;=H$4,$F13&gt;=H$4),1,"")</f>
        <v/>
      </c>
      <c r="I13" s="34">
        <f>IF(AND($E13&lt;&gt;"",$F13&lt;&gt;"",$E13&lt;=I$4,$F13&gt;=I$4),1,"")</f>
        <v/>
      </c>
      <c r="J13" s="34">
        <f>IF(AND($E13&lt;&gt;"",$F13&lt;&gt;"",$E13&lt;=J$4,$F13&gt;=J$4),1,"")</f>
        <v/>
      </c>
      <c r="K13" s="34">
        <f>IF(AND($E13&lt;&gt;"",$F13&lt;&gt;"",$E13&lt;=K$4,$F13&gt;=K$4),1,"")</f>
        <v/>
      </c>
      <c r="L13" s="34">
        <f>IF(AND($E13&lt;&gt;"",$F13&lt;&gt;"",$E13&lt;=L$4,$F13&gt;=L$4),1,"")</f>
        <v/>
      </c>
      <c r="M13" s="34">
        <f>IF(AND($E13&lt;&gt;"",$F13&lt;&gt;"",$E13&lt;=M$4,$F13&gt;=M$4),1,"")</f>
        <v/>
      </c>
      <c r="N13" s="34">
        <f>IF(AND($E13&lt;&gt;"",$F13&lt;&gt;"",$E13&lt;=N$4,$F13&gt;=N$4),1,"")</f>
        <v/>
      </c>
      <c r="O13" s="34">
        <f>IF(AND($E13&lt;&gt;"",$F13&lt;&gt;"",$E13&lt;=O$4,$F13&gt;=O$4),1,"")</f>
        <v/>
      </c>
      <c r="P13" s="34">
        <f>IF(AND($E13&lt;&gt;"",$F13&lt;&gt;"",$E13&lt;=P$4,$F13&gt;=P$4),1,"")</f>
        <v/>
      </c>
      <c r="Q13" s="34">
        <f>IF(AND($E13&lt;&gt;"",$F13&lt;&gt;"",$E13&lt;=Q$4,$F13&gt;=Q$4),1,"")</f>
        <v/>
      </c>
      <c r="R13" s="34">
        <f>IF(AND($E13&lt;&gt;"",$F13&lt;&gt;"",$E13&lt;=R$4,$F13&gt;=R$4),1,"")</f>
        <v/>
      </c>
    </row>
    <row r="14" ht="22" customHeight="1">
      <c r="A14" s="30">
        <f>WBS!A14</f>
        <v/>
      </c>
      <c r="B14" s="31">
        <f>WBS!C14</f>
        <v/>
      </c>
      <c r="C14" s="32">
        <f>WBS!D14</f>
        <v/>
      </c>
      <c r="D14" s="33">
        <f>WBS!F14</f>
        <v/>
      </c>
      <c r="E14" s="30">
        <f>WBS!G14</f>
        <v/>
      </c>
      <c r="F14" s="30">
        <f>WBS!I14</f>
        <v/>
      </c>
      <c r="G14" s="34">
        <f>IF(AND($E14&lt;&gt;"",$F14&lt;&gt;"",$E14&lt;=G$4,$F14&gt;=G$4),1,"")</f>
        <v/>
      </c>
      <c r="H14" s="34">
        <f>IF(AND($E14&lt;&gt;"",$F14&lt;&gt;"",$E14&lt;=H$4,$F14&gt;=H$4),1,"")</f>
        <v/>
      </c>
      <c r="I14" s="34">
        <f>IF(AND($E14&lt;&gt;"",$F14&lt;&gt;"",$E14&lt;=I$4,$F14&gt;=I$4),1,"")</f>
        <v/>
      </c>
      <c r="J14" s="34">
        <f>IF(AND($E14&lt;&gt;"",$F14&lt;&gt;"",$E14&lt;=J$4,$F14&gt;=J$4),1,"")</f>
        <v/>
      </c>
      <c r="K14" s="34">
        <f>IF(AND($E14&lt;&gt;"",$F14&lt;&gt;"",$E14&lt;=K$4,$F14&gt;=K$4),1,"")</f>
        <v/>
      </c>
      <c r="L14" s="34">
        <f>IF(AND($E14&lt;&gt;"",$F14&lt;&gt;"",$E14&lt;=L$4,$F14&gt;=L$4),1,"")</f>
        <v/>
      </c>
      <c r="M14" s="34">
        <f>IF(AND($E14&lt;&gt;"",$F14&lt;&gt;"",$E14&lt;=M$4,$F14&gt;=M$4),1,"")</f>
        <v/>
      </c>
      <c r="N14" s="34">
        <f>IF(AND($E14&lt;&gt;"",$F14&lt;&gt;"",$E14&lt;=N$4,$F14&gt;=N$4),1,"")</f>
        <v/>
      </c>
      <c r="O14" s="34">
        <f>IF(AND($E14&lt;&gt;"",$F14&lt;&gt;"",$E14&lt;=O$4,$F14&gt;=O$4),1,"")</f>
        <v/>
      </c>
      <c r="P14" s="34">
        <f>IF(AND($E14&lt;&gt;"",$F14&lt;&gt;"",$E14&lt;=P$4,$F14&gt;=P$4),1,"")</f>
        <v/>
      </c>
      <c r="Q14" s="34">
        <f>IF(AND($E14&lt;&gt;"",$F14&lt;&gt;"",$E14&lt;=Q$4,$F14&gt;=Q$4),1,"")</f>
        <v/>
      </c>
      <c r="R14" s="34">
        <f>IF(AND($E14&lt;&gt;"",$F14&lt;&gt;"",$E14&lt;=R$4,$F14&gt;=R$4),1,"")</f>
        <v/>
      </c>
    </row>
    <row r="15" ht="22" customHeight="1">
      <c r="A15" s="30">
        <f>WBS!A15</f>
        <v/>
      </c>
      <c r="B15" s="31">
        <f>WBS!C15</f>
        <v/>
      </c>
      <c r="C15" s="32">
        <f>WBS!D15</f>
        <v/>
      </c>
      <c r="D15" s="33">
        <f>WBS!F15</f>
        <v/>
      </c>
      <c r="E15" s="30">
        <f>WBS!G15</f>
        <v/>
      </c>
      <c r="F15" s="30">
        <f>WBS!I15</f>
        <v/>
      </c>
      <c r="G15" s="34">
        <f>IF(AND($E15&lt;&gt;"",$F15&lt;&gt;"",$E15&lt;=G$4,$F15&gt;=G$4),1,"")</f>
        <v/>
      </c>
      <c r="H15" s="34">
        <f>IF(AND($E15&lt;&gt;"",$F15&lt;&gt;"",$E15&lt;=H$4,$F15&gt;=H$4),1,"")</f>
        <v/>
      </c>
      <c r="I15" s="34">
        <f>IF(AND($E15&lt;&gt;"",$F15&lt;&gt;"",$E15&lt;=I$4,$F15&gt;=I$4),1,"")</f>
        <v/>
      </c>
      <c r="J15" s="34">
        <f>IF(AND($E15&lt;&gt;"",$F15&lt;&gt;"",$E15&lt;=J$4,$F15&gt;=J$4),1,"")</f>
        <v/>
      </c>
      <c r="K15" s="34">
        <f>IF(AND($E15&lt;&gt;"",$F15&lt;&gt;"",$E15&lt;=K$4,$F15&gt;=K$4),1,"")</f>
        <v/>
      </c>
      <c r="L15" s="34">
        <f>IF(AND($E15&lt;&gt;"",$F15&lt;&gt;"",$E15&lt;=L$4,$F15&gt;=L$4),1,"")</f>
        <v/>
      </c>
      <c r="M15" s="34">
        <f>IF(AND($E15&lt;&gt;"",$F15&lt;&gt;"",$E15&lt;=M$4,$F15&gt;=M$4),1,"")</f>
        <v/>
      </c>
      <c r="N15" s="34">
        <f>IF(AND($E15&lt;&gt;"",$F15&lt;&gt;"",$E15&lt;=N$4,$F15&gt;=N$4),1,"")</f>
        <v/>
      </c>
      <c r="O15" s="34">
        <f>IF(AND($E15&lt;&gt;"",$F15&lt;&gt;"",$E15&lt;=O$4,$F15&gt;=O$4),1,"")</f>
        <v/>
      </c>
      <c r="P15" s="34">
        <f>IF(AND($E15&lt;&gt;"",$F15&lt;&gt;"",$E15&lt;=P$4,$F15&gt;=P$4),1,"")</f>
        <v/>
      </c>
      <c r="Q15" s="34">
        <f>IF(AND($E15&lt;&gt;"",$F15&lt;&gt;"",$E15&lt;=Q$4,$F15&gt;=Q$4),1,"")</f>
        <v/>
      </c>
      <c r="R15" s="34">
        <f>IF(AND($E15&lt;&gt;"",$F15&lt;&gt;"",$E15&lt;=R$4,$F15&gt;=R$4),1,"")</f>
        <v/>
      </c>
    </row>
    <row r="16" ht="22" customHeight="1">
      <c r="A16" s="30">
        <f>WBS!A16</f>
        <v/>
      </c>
      <c r="B16" s="31">
        <f>WBS!C16</f>
        <v/>
      </c>
      <c r="C16" s="32">
        <f>WBS!D16</f>
        <v/>
      </c>
      <c r="D16" s="33">
        <f>WBS!F16</f>
        <v/>
      </c>
      <c r="E16" s="30">
        <f>WBS!G16</f>
        <v/>
      </c>
      <c r="F16" s="30">
        <f>WBS!I16</f>
        <v/>
      </c>
      <c r="G16" s="34">
        <f>IF(AND($E16&lt;&gt;"",$F16&lt;&gt;"",$E16&lt;=G$4,$F16&gt;=G$4),1,"")</f>
        <v/>
      </c>
      <c r="H16" s="34">
        <f>IF(AND($E16&lt;&gt;"",$F16&lt;&gt;"",$E16&lt;=H$4,$F16&gt;=H$4),1,"")</f>
        <v/>
      </c>
      <c r="I16" s="34">
        <f>IF(AND($E16&lt;&gt;"",$F16&lt;&gt;"",$E16&lt;=I$4,$F16&gt;=I$4),1,"")</f>
        <v/>
      </c>
      <c r="J16" s="34">
        <f>IF(AND($E16&lt;&gt;"",$F16&lt;&gt;"",$E16&lt;=J$4,$F16&gt;=J$4),1,"")</f>
        <v/>
      </c>
      <c r="K16" s="34">
        <f>IF(AND($E16&lt;&gt;"",$F16&lt;&gt;"",$E16&lt;=K$4,$F16&gt;=K$4),1,"")</f>
        <v/>
      </c>
      <c r="L16" s="34">
        <f>IF(AND($E16&lt;&gt;"",$F16&lt;&gt;"",$E16&lt;=L$4,$F16&gt;=L$4),1,"")</f>
        <v/>
      </c>
      <c r="M16" s="34">
        <f>IF(AND($E16&lt;&gt;"",$F16&lt;&gt;"",$E16&lt;=M$4,$F16&gt;=M$4),1,"")</f>
        <v/>
      </c>
      <c r="N16" s="34">
        <f>IF(AND($E16&lt;&gt;"",$F16&lt;&gt;"",$E16&lt;=N$4,$F16&gt;=N$4),1,"")</f>
        <v/>
      </c>
      <c r="O16" s="34">
        <f>IF(AND($E16&lt;&gt;"",$F16&lt;&gt;"",$E16&lt;=O$4,$F16&gt;=O$4),1,"")</f>
        <v/>
      </c>
      <c r="P16" s="34">
        <f>IF(AND($E16&lt;&gt;"",$F16&lt;&gt;"",$E16&lt;=P$4,$F16&gt;=P$4),1,"")</f>
        <v/>
      </c>
      <c r="Q16" s="34">
        <f>IF(AND($E16&lt;&gt;"",$F16&lt;&gt;"",$E16&lt;=Q$4,$F16&gt;=Q$4),1,"")</f>
        <v/>
      </c>
      <c r="R16" s="34">
        <f>IF(AND($E16&lt;&gt;"",$F16&lt;&gt;"",$E16&lt;=R$4,$F16&gt;=R$4),1,"")</f>
        <v/>
      </c>
    </row>
    <row r="17" ht="22" customHeight="1">
      <c r="A17" s="30">
        <f>WBS!A17</f>
        <v/>
      </c>
      <c r="B17" s="31">
        <f>WBS!C17</f>
        <v/>
      </c>
      <c r="C17" s="32">
        <f>WBS!D17</f>
        <v/>
      </c>
      <c r="D17" s="33">
        <f>WBS!F17</f>
        <v/>
      </c>
      <c r="E17" s="30">
        <f>WBS!G17</f>
        <v/>
      </c>
      <c r="F17" s="30">
        <f>WBS!I17</f>
        <v/>
      </c>
      <c r="G17" s="34">
        <f>IF(AND($E17&lt;&gt;"",$F17&lt;&gt;"",$E17&lt;=G$4,$F17&gt;=G$4),1,"")</f>
        <v/>
      </c>
      <c r="H17" s="34">
        <f>IF(AND($E17&lt;&gt;"",$F17&lt;&gt;"",$E17&lt;=H$4,$F17&gt;=H$4),1,"")</f>
        <v/>
      </c>
      <c r="I17" s="34">
        <f>IF(AND($E17&lt;&gt;"",$F17&lt;&gt;"",$E17&lt;=I$4,$F17&gt;=I$4),1,"")</f>
        <v/>
      </c>
      <c r="J17" s="34">
        <f>IF(AND($E17&lt;&gt;"",$F17&lt;&gt;"",$E17&lt;=J$4,$F17&gt;=J$4),1,"")</f>
        <v/>
      </c>
      <c r="K17" s="34">
        <f>IF(AND($E17&lt;&gt;"",$F17&lt;&gt;"",$E17&lt;=K$4,$F17&gt;=K$4),1,"")</f>
        <v/>
      </c>
      <c r="L17" s="34">
        <f>IF(AND($E17&lt;&gt;"",$F17&lt;&gt;"",$E17&lt;=L$4,$F17&gt;=L$4),1,"")</f>
        <v/>
      </c>
      <c r="M17" s="34">
        <f>IF(AND($E17&lt;&gt;"",$F17&lt;&gt;"",$E17&lt;=M$4,$F17&gt;=M$4),1,"")</f>
        <v/>
      </c>
      <c r="N17" s="34">
        <f>IF(AND($E17&lt;&gt;"",$F17&lt;&gt;"",$E17&lt;=N$4,$F17&gt;=N$4),1,"")</f>
        <v/>
      </c>
      <c r="O17" s="34">
        <f>IF(AND($E17&lt;&gt;"",$F17&lt;&gt;"",$E17&lt;=O$4,$F17&gt;=O$4),1,"")</f>
        <v/>
      </c>
      <c r="P17" s="34">
        <f>IF(AND($E17&lt;&gt;"",$F17&lt;&gt;"",$E17&lt;=P$4,$F17&gt;=P$4),1,"")</f>
        <v/>
      </c>
      <c r="Q17" s="34">
        <f>IF(AND($E17&lt;&gt;"",$F17&lt;&gt;"",$E17&lt;=Q$4,$F17&gt;=Q$4),1,"")</f>
        <v/>
      </c>
      <c r="R17" s="34">
        <f>IF(AND($E17&lt;&gt;"",$F17&lt;&gt;"",$E17&lt;=R$4,$F17&gt;=R$4),1,"")</f>
        <v/>
      </c>
    </row>
    <row r="18" ht="22" customHeight="1">
      <c r="A18" s="35" t="inlineStr">
        <is>
          <t>Fasi attive nella settimana</t>
        </is>
      </c>
      <c r="B18" s="36" t="n"/>
      <c r="C18" s="36" t="n"/>
      <c r="D18" s="36" t="n"/>
      <c r="E18" s="36" t="n"/>
      <c r="F18" s="36" t="n"/>
      <c r="G18" s="17">
        <f>COUNT(G6:G17)</f>
        <v/>
      </c>
      <c r="H18" s="17">
        <f>COUNT(H6:H17)</f>
        <v/>
      </c>
      <c r="I18" s="17">
        <f>COUNT(I6:I17)</f>
        <v/>
      </c>
      <c r="J18" s="17">
        <f>COUNT(J6:J17)</f>
        <v/>
      </c>
      <c r="K18" s="17">
        <f>COUNT(K6:K17)</f>
        <v/>
      </c>
      <c r="L18" s="17">
        <f>COUNT(L6:L17)</f>
        <v/>
      </c>
      <c r="M18" s="17">
        <f>COUNT(M6:M17)</f>
        <v/>
      </c>
      <c r="N18" s="17">
        <f>COUNT(N6:N17)</f>
        <v/>
      </c>
      <c r="O18" s="17">
        <f>COUNT(O6:O17)</f>
        <v/>
      </c>
      <c r="P18" s="17">
        <f>COUNT(P6:P17)</f>
        <v/>
      </c>
      <c r="Q18" s="17">
        <f>COUNT(Q6:Q17)</f>
        <v/>
      </c>
      <c r="R18" s="17">
        <f>COUNT(R6:R17)</f>
        <v/>
      </c>
    </row>
    <row r="20">
      <c r="A20" s="37" t="inlineStr">
        <is>
          <t>Settimane con più di una fase attiva in parallelo</t>
        </is>
      </c>
      <c r="F20" s="38">
        <f>COUNTIF(G18:R18,"&gt;1")</f>
        <v/>
      </c>
    </row>
    <row r="21">
      <c r="A21" s="37" t="inlineStr">
        <is>
          <t>Settimana di massima concentrazione (n. fasi in parallelo)</t>
        </is>
      </c>
      <c r="F21" s="38">
        <f>MAX(G18:R18)</f>
        <v/>
      </c>
    </row>
  </sheetData>
  <mergeCells count="6">
    <mergeCell ref="A21:E21"/>
    <mergeCell ref="A20:E20"/>
    <mergeCell ref="A2:R2"/>
    <mergeCell ref="A5:F5"/>
    <mergeCell ref="A1:R1"/>
    <mergeCell ref="A18:F18"/>
  </mergeCells>
  <conditionalFormatting sqref="G5:R5">
    <cfRule type="expression" priority="1" dxfId="0" stopIfTrue="1">
      <formula>G5&lt;&gt;""</formula>
    </cfRule>
  </conditionalFormatting>
  <conditionalFormatting sqref="G6:R17">
    <cfRule type="expression" priority="2" dxfId="1" stopIfTrue="1">
      <formula>AND(ISNUMBER(SEARCH("parallelo",$D6)),G6=1)</formula>
    </cfRule>
    <cfRule type="expression" priority="3" dxfId="2" stopIfTrue="1">
      <formula>AND($C6="Interna",G6=1)</formula>
    </cfRule>
    <cfRule type="expression" priority="4" dxfId="3" stopIfTrue="1">
      <formula>G6=1</formula>
    </cfRule>
  </conditionalFormatting>
  <conditionalFormatting sqref="B6:F17">
    <cfRule type="expression" priority="5" dxfId="4">
      <formula>ISNUMBER(SEARCH("parallelo",$D6))</formula>
    </cfRule>
  </conditionalFormatting>
  <conditionalFormatting sqref="G18:R18">
    <cfRule type="expression" priority="6" dxfId="0" stopIfTrue="1">
      <formula>G18&gt;1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" customWidth="1" min="2" max="2"/>
    <col width="18" customWidth="1" min="3" max="3"/>
    <col width="13" customWidth="1" min="4" max="4"/>
    <col width="62" customWidth="1" min="5" max="5"/>
  </cols>
  <sheetData>
    <row r="1" ht="26" customHeight="1">
      <c r="A1" s="1" t="inlineStr">
        <is>
          <t>›  RIEPILOGO DI PROGETTO</t>
        </is>
      </c>
      <c r="B1" s="2" t="n"/>
      <c r="C1" s="2" t="n"/>
      <c r="D1" s="2" t="n"/>
      <c r="E1" s="2" t="n"/>
    </row>
    <row r="2" ht="18" customHeight="1">
      <c r="A2" s="39" t="inlineStr">
        <is>
          <t>Tutti i valori sono calcolati dalla WBS e dai Parametri. Nessuna cella di questo foglio va compilata a mano.</t>
        </is>
      </c>
    </row>
    <row r="4" ht="20" customHeight="1">
      <c r="A4" s="40" t="inlineStr">
        <is>
          <t>›  IMPEGNO E COSTO COMPLESSIVO</t>
        </is>
      </c>
      <c r="B4" s="5" t="n"/>
      <c r="C4" s="5" t="n"/>
      <c r="D4" s="5" t="n"/>
      <c r="E4" s="5" t="n"/>
    </row>
    <row r="5">
      <c r="A5" s="9" t="inlineStr">
        <is>
          <t>Giornate front office (presso il cliente)</t>
        </is>
      </c>
      <c r="C5" s="14">
        <f>WBS!S18</f>
        <v/>
      </c>
      <c r="D5" s="41" t="inlineStr">
        <is>
          <t>gg-uomo</t>
        </is>
      </c>
      <c r="E5" s="42" t="inlineStr"/>
    </row>
    <row r="6">
      <c r="A6" s="9" t="inlineStr">
        <is>
          <t>Giornate back office</t>
        </is>
      </c>
      <c r="C6" s="14">
        <f>WBS!T18</f>
        <v/>
      </c>
      <c r="D6" s="41" t="inlineStr">
        <is>
          <t>gg-uomo</t>
        </is>
      </c>
      <c r="E6" s="42" t="inlineStr"/>
    </row>
    <row r="7">
      <c r="A7" s="9" t="inlineStr">
        <is>
          <t>Giornate di viaggio</t>
        </is>
      </c>
      <c r="C7" s="14">
        <f>WBS!U18</f>
        <v/>
      </c>
      <c r="D7" s="41" t="inlineStr">
        <is>
          <t>gg-uomo</t>
        </is>
      </c>
      <c r="E7" s="42" t="inlineStr">
        <is>
          <t>Incluse nel monte ore, come da impostazione concordata.</t>
        </is>
      </c>
    </row>
    <row r="8">
      <c r="A8" s="10" t="inlineStr">
        <is>
          <t>TOTALE giornate-uomo di progetto</t>
        </is>
      </c>
      <c r="C8" s="43">
        <f>WBS!W18</f>
        <v/>
      </c>
      <c r="D8" s="41" t="inlineStr">
        <is>
          <t>gg-uomo</t>
        </is>
      </c>
      <c r="E8" s="42" t="inlineStr"/>
    </row>
    <row r="9">
      <c r="A9" s="10" t="inlineStr">
        <is>
          <t>TOTALE ore di progetto</t>
        </is>
      </c>
      <c r="C9" s="43">
        <f>WBS!X18</f>
        <v/>
      </c>
      <c r="D9" s="41" t="inlineStr">
        <is>
          <t>h</t>
        </is>
      </c>
      <c r="E9" s="42" t="inlineStr">
        <is>
          <t>Totale giornate × ore per giornata (Parametri!$C$5).</t>
        </is>
      </c>
    </row>
    <row r="10">
      <c r="A10" s="10" t="inlineStr">
        <is>
          <t>COSTO TOTALE DI PROGETTO</t>
        </is>
      </c>
      <c r="C10" s="44">
        <f>WBS!Y18</f>
        <v/>
      </c>
      <c r="D10" s="41" t="inlineStr">
        <is>
          <t>€</t>
        </is>
      </c>
      <c r="E10" s="42" t="inlineStr"/>
    </row>
    <row r="12" ht="20" customHeight="1">
      <c r="A12" s="40" t="inlineStr">
        <is>
          <t>›  RIPARTIZIONE DEL COSTO PER TIPOLOGIA DI ORA</t>
        </is>
      </c>
      <c r="B12" s="5" t="n"/>
      <c r="C12" s="5" t="n"/>
      <c r="D12" s="5" t="n"/>
      <c r="E12" s="5" t="n"/>
    </row>
    <row r="13">
      <c r="A13" s="9" t="inlineStr">
        <is>
          <t>Costo ore front office</t>
        </is>
      </c>
      <c r="C13" s="15">
        <f>WBS!S18*Parametri!$C$5*Parametri!$C$6</f>
        <v/>
      </c>
      <c r="D13" s="41" t="inlineStr">
        <is>
          <t>€</t>
        </is>
      </c>
      <c r="E13" s="42" t="inlineStr"/>
    </row>
    <row r="14">
      <c r="A14" s="9" t="inlineStr">
        <is>
          <t>Costo ore back office</t>
        </is>
      </c>
      <c r="C14" s="15">
        <f>WBS!T18*Parametri!$C$5*Parametri!$C$7</f>
        <v/>
      </c>
      <c r="D14" s="41" t="inlineStr">
        <is>
          <t>€</t>
        </is>
      </c>
      <c r="E14" s="42" t="inlineStr"/>
    </row>
    <row r="15">
      <c r="A15" s="9" t="inlineStr">
        <is>
          <t>Costo ore di viaggio</t>
        </is>
      </c>
      <c r="C15" s="15">
        <f>WBS!U18*Parametri!$C$5*Parametri!$C$8</f>
        <v/>
      </c>
      <c r="D15" s="41" t="inlineStr">
        <is>
          <t>€</t>
        </is>
      </c>
      <c r="E15" s="42" t="inlineStr"/>
    </row>
    <row r="16">
      <c r="A16" s="10" t="inlineStr">
        <is>
          <t>Quadratura (deve coincidere con il costo totale)</t>
        </is>
      </c>
      <c r="C16" s="44">
        <f>SUM(C13:C15)</f>
        <v/>
      </c>
      <c r="D16" s="41" t="inlineStr">
        <is>
          <t>€</t>
        </is>
      </c>
      <c r="E16" s="42" t="inlineStr">
        <is>
          <t>Controllo interno: se differisce dal costo totale c'è un errore di formula.</t>
        </is>
      </c>
    </row>
    <row r="18" ht="20" customHeight="1">
      <c r="A18" s="40" t="inlineStr">
        <is>
          <t>›  RIPARTIZIONE PER TIPO DI FASE</t>
        </is>
      </c>
      <c r="B18" s="5" t="n"/>
      <c r="C18" s="5" t="n"/>
      <c r="D18" s="5" t="n"/>
      <c r="E18" s="5" t="n"/>
    </row>
    <row r="19">
      <c r="A19" s="9" t="inlineStr">
        <is>
          <t>Giornate — fasi con il cliente</t>
        </is>
      </c>
      <c r="C19" s="14">
        <f>SUMIF(WBS!$D$6:$D$17,"Cliente",WBS!$W$6:$W$17)</f>
        <v/>
      </c>
      <c r="D19" s="41" t="inlineStr">
        <is>
          <t>gg-uomo</t>
        </is>
      </c>
      <c r="E19" s="42" t="inlineStr"/>
    </row>
    <row r="20">
      <c r="A20" s="9" t="inlineStr">
        <is>
          <t>Giornate — fasi interne</t>
        </is>
      </c>
      <c r="C20" s="14">
        <f>SUMIF(WBS!$D$6:$D$17,"Interna",WBS!$W$6:$W$17)</f>
        <v/>
      </c>
      <c r="D20" s="41" t="inlineStr">
        <is>
          <t>gg-uomo</t>
        </is>
      </c>
      <c r="E20" s="42" t="inlineStr"/>
    </row>
    <row r="21">
      <c r="A21" s="9" t="inlineStr">
        <is>
          <t>Costo — fasi con il cliente</t>
        </is>
      </c>
      <c r="C21" s="15">
        <f>SUMIF(WBS!$D$6:$D$17,"Cliente",WBS!$Y$6:$Y$17)</f>
        <v/>
      </c>
      <c r="D21" s="41" t="inlineStr">
        <is>
          <t>€</t>
        </is>
      </c>
      <c r="E21" s="42" t="inlineStr"/>
    </row>
    <row r="22">
      <c r="A22" s="9" t="inlineStr">
        <is>
          <t>Costo — fasi interne</t>
        </is>
      </c>
      <c r="C22" s="15">
        <f>SUMIF(WBS!$D$6:$D$17,"Interna",WBS!$Y$6:$Y$17)</f>
        <v/>
      </c>
      <c r="D22" s="41" t="inlineStr">
        <is>
          <t>€</t>
        </is>
      </c>
      <c r="E22" s="42" t="inlineStr"/>
    </row>
    <row r="23">
      <c r="A23" s="9" t="inlineStr">
        <is>
          <t>Incontri previsti con il cliente</t>
        </is>
      </c>
      <c r="C23" s="12">
        <f>SUMIF(WBS!$D$6:$D$17,"Cliente",WBS!$Q$6:$Q$17)</f>
        <v/>
      </c>
      <c r="D23" s="41" t="inlineStr">
        <is>
          <t>n.</t>
        </is>
      </c>
      <c r="E23" s="42" t="inlineStr"/>
    </row>
    <row r="24">
      <c r="A24" s="9" t="inlineStr">
        <is>
          <t>Fasi con il cliente / fasi interne</t>
        </is>
      </c>
      <c r="C24" s="45">
        <f>COUNTIF(WBS!$D$6:$D$17,"Cliente")&amp;" / "&amp;COUNTIF(WBS!$D$6:$D$17,"Interna")</f>
        <v/>
      </c>
      <c r="D24" s="41" t="inlineStr"/>
      <c r="E24" s="42" t="inlineStr"/>
    </row>
    <row r="26" ht="20" customHeight="1">
      <c r="A26" s="40" t="inlineStr">
        <is>
          <t>›  LEAD TIME E EFFETTO DELLA PARALLELIZZAZIONE</t>
        </is>
      </c>
      <c r="B26" s="5" t="n"/>
      <c r="C26" s="5" t="n"/>
      <c r="D26" s="5" t="n"/>
      <c r="E26" s="5" t="n"/>
    </row>
    <row r="27">
      <c r="A27" s="9" t="inlineStr">
        <is>
          <t>Somma delle durate delle fasi, se svolte in sequenza</t>
        </is>
      </c>
      <c r="C27" s="12">
        <f>SUM(WBS!H6:H17)</f>
        <v/>
      </c>
      <c r="D27" s="41" t="inlineStr">
        <is>
          <t>settimane</t>
        </is>
      </c>
      <c r="E27" s="42" t="inlineStr">
        <is>
          <t>Somma aritmetica della colonna «Durata (sett.)» della WBS.</t>
        </is>
      </c>
    </row>
    <row r="28">
      <c r="A28" s="10" t="inlineStr">
        <is>
          <t>Lead time di calendario effettivo</t>
        </is>
      </c>
      <c r="C28" s="46">
        <f>MAX(WBS!I6:I17)-MIN(WBS!G6:G17)+1</f>
        <v/>
      </c>
      <c r="D28" s="41" t="inlineStr">
        <is>
          <t>settimane</t>
        </is>
      </c>
      <c r="E28" s="42" t="inlineStr">
        <is>
          <t>Prima settimana di inizio → ultima settimana di fine, tenendo conto delle fasi sovrapposte.</t>
        </is>
      </c>
    </row>
    <row r="29">
      <c r="A29" s="9" t="inlineStr">
        <is>
          <t>Settimane recuperate dalla parallelizzazione</t>
        </is>
      </c>
      <c r="C29" s="12">
        <f>C27-C28</f>
        <v/>
      </c>
      <c r="D29" s="41" t="inlineStr">
        <is>
          <t>settimane</t>
        </is>
      </c>
      <c r="E29" s="42" t="inlineStr">
        <is>
          <t>Effetto dei workshop svolti nelle stesse due settimane.</t>
        </is>
      </c>
    </row>
    <row r="30">
      <c r="A30" s="9" t="inlineStr">
        <is>
          <t>Lead time target dichiarato</t>
        </is>
      </c>
      <c r="C30" s="12">
        <f>Parametri!$C$10</f>
        <v/>
      </c>
      <c r="D30" s="41" t="inlineStr">
        <is>
          <t>settimane</t>
        </is>
      </c>
      <c r="E30" s="42" t="inlineStr">
        <is>
          <t>Impostato nel foglio «Parametri».</t>
        </is>
      </c>
    </row>
    <row r="31">
      <c r="A31" s="10" t="inlineStr">
        <is>
          <t>SCOSTAMENTO effettivo vs target</t>
        </is>
      </c>
      <c r="C31" s="46">
        <f>C28-C30</f>
        <v/>
      </c>
      <c r="D31" s="41" t="inlineStr">
        <is>
          <t>settimane</t>
        </is>
      </c>
      <c r="E31" s="42" t="inlineStr">
        <is>
          <t>Zero = il piano quadra. Se lo scostamento non è zero la cella si inverte in nero.</t>
        </is>
      </c>
    </row>
    <row r="32" ht="18" customHeight="1">
      <c r="A32" s="47" t="inlineStr">
        <is>
          <t>Esito del controllo</t>
        </is>
      </c>
      <c r="C32" s="48">
        <f>IF(C28=C30,"Il piano quadra con il lead time target.","NON QUADRA — rivedere le settimane di inizio e le durate nella WBS.")</f>
        <v/>
      </c>
    </row>
    <row r="34" ht="20" customHeight="1">
      <c r="A34" s="40" t="inlineStr">
        <is>
          <t>›  IPOTESI E PUNTI APERTI</t>
        </is>
      </c>
      <c r="B34" s="5" t="n"/>
      <c r="C34" s="5" t="n"/>
      <c r="D34" s="5" t="n"/>
      <c r="E34" s="5" t="n"/>
    </row>
    <row r="35" ht="44" customHeight="1">
      <c r="A35" s="10" t="inlineStr">
        <is>
          <t>Pianificazione delle settimane</t>
        </is>
      </c>
      <c r="C35" s="49" t="inlineStr">
        <is>
          <t>Il piano proposto è: S1 kick off · S2 analisi dati · S3–S4 i cinque workshop con il cliente in parallelo (revenue model, ICP e customer journey, process design, tech stack, data model) · S5 interviste qualitative a valle del process design · S6 sintesi e business case · S7 review con il cliente · S8–S9 consolidamento report · S10 presentazione. Totale 10 settimane, coerente con il target dichiarato.</t>
        </is>
      </c>
    </row>
    <row r="36" ht="44" customHeight="1">
      <c r="A36" s="10" t="inlineStr">
        <is>
          <t>Giornate front / back / viaggio</t>
        </is>
      </c>
      <c r="C36" s="49" t="inlineStr">
        <is>
          <t>Non ancora fornite: le celle sono vuote, sotto intestazione gialla. Finché non sono compilate, ore e costi restano a zero.</t>
        </is>
      </c>
    </row>
    <row r="37" ht="44" customHeight="1">
      <c r="A37" s="10" t="inlineStr">
        <is>
          <t>Tariffe orarie</t>
        </is>
      </c>
      <c r="C37" s="49" t="inlineStr">
        <is>
          <t>Non ancora fornite: da inserire nel foglio «Parametri». Sono tre tariffe distinte (front, back, viaggio).</t>
        </is>
      </c>
    </row>
    <row r="38" ht="44" customHeight="1">
      <c r="A38" s="10" t="inlineStr">
        <is>
          <t>Durata dei workshop</t>
        </is>
      </c>
      <c r="C38" s="49" t="inlineStr">
        <is>
          <t>Da definire per revenue model, ICP e customer journey, process design, tech stack, data model e presentazione finale (colonna «Durata incontro (h)» della WBS).</t>
        </is>
      </c>
    </row>
    <row r="39" ht="44" customHeight="1">
      <c r="A39" s="10" t="inlineStr">
        <is>
          <t>Modalità da confermare</t>
        </is>
      </c>
      <c r="C39" s="49" t="inlineStr">
        <is>
          <t>Tech stack, data model e presentazione finale sono impostati su «Da definire»: da scegliere fra presenza e remoto. La scelta incide sulle giornate di viaggio.</t>
        </is>
      </c>
    </row>
    <row r="40" ht="44" customHeight="1">
      <c r="A40" s="10" t="inlineStr">
        <is>
          <t>Somma sequenziale vs lead time</t>
        </is>
      </c>
      <c r="C40" s="49" t="inlineStr">
        <is>
          <t>La somma delle durate di fase vale 18 settimane perché le cinque fasi in parallelo occupano ciascuna la stessa finestra di 2 settimane. Il lead time reale resta 10 settimane: è questo il numero da leggere.</t>
        </is>
      </c>
    </row>
    <row r="41" ht="44" customHeight="1">
      <c r="A41" s="10" t="inlineStr">
        <is>
          <t>Identità visiva</t>
        </is>
      </c>
      <c r="C41" s="49" t="inlineStr">
        <is>
          <t>Palette Impresoft di tre colori (giallo #FDC300, nero, bianco) più grigi puri derivati dal nero. Font Manrope, fallback Arial. Nessun colore semantico: verde e rosso sono stati sostituiti dalla scala monocroma e da etichette in parole.</t>
        </is>
      </c>
    </row>
  </sheetData>
  <mergeCells count="15">
    <mergeCell ref="A34:E34"/>
    <mergeCell ref="A12:E12"/>
    <mergeCell ref="A4:E4"/>
    <mergeCell ref="C36:E36"/>
    <mergeCell ref="A26:E26"/>
    <mergeCell ref="C41:E41"/>
    <mergeCell ref="A2:E2"/>
    <mergeCell ref="C37:E37"/>
    <mergeCell ref="C39:E39"/>
    <mergeCell ref="C40:E40"/>
    <mergeCell ref="A1:E1"/>
    <mergeCell ref="C35:E35"/>
    <mergeCell ref="A18:E18"/>
    <mergeCell ref="C32:E32"/>
    <mergeCell ref="C38:E38"/>
  </mergeCells>
  <conditionalFormatting sqref="C31">
    <cfRule type="expression" priority="1" dxfId="5" stopIfTrue="1">
      <formula>C31&lt;&gt;0</formula>
    </cfRule>
  </conditionalFormatting>
  <conditionalFormatting sqref="C32:E32">
    <cfRule type="expression" priority="2" dxfId="5" stopIfTrue="1">
      <formula>$C$28&lt;&gt;$C$30</formula>
    </cfRule>
  </conditionalFormatting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" customWidth="1" min="2" max="2"/>
    <col width="14" customWidth="1" min="3" max="3"/>
    <col width="12" customWidth="1" min="4" max="4"/>
    <col width="56" customWidth="1" min="5" max="5"/>
  </cols>
  <sheetData>
    <row r="1" ht="26" customHeight="1">
      <c r="A1" s="1" t="inlineStr">
        <is>
          <t>›  PARAMETRI DI CALCOLO</t>
        </is>
      </c>
      <c r="B1" s="2" t="n"/>
      <c r="C1" s="2" t="n"/>
      <c r="D1" s="2" t="n"/>
      <c r="E1" s="2" t="n"/>
    </row>
    <row r="2" ht="24" customHeight="1">
      <c r="A2" s="39" t="inlineStr">
        <is>
          <t>Le celle con riquadro nero, sotto l'intestazione gialla, sono da compilare. Tutto il resto del file si ricalcola da qui: modificando un valore in questa pagina si aggiornano ore e costi di tutte le fasi.</t>
        </is>
      </c>
    </row>
    <row r="4">
      <c r="A4" s="6" t="inlineStr">
        <is>
          <t>Parametro</t>
        </is>
      </c>
      <c r="B4" s="50" t="n"/>
      <c r="C4" s="7" t="inlineStr">
        <is>
          <t>Valore</t>
        </is>
      </c>
      <c r="D4" s="6" t="inlineStr">
        <is>
          <t>Unità</t>
        </is>
      </c>
      <c r="E4" s="6" t="inlineStr">
        <is>
          <t>Note</t>
        </is>
      </c>
    </row>
    <row r="5">
      <c r="A5" s="10" t="inlineStr">
        <is>
          <t>Ore per giornata</t>
        </is>
      </c>
      <c r="B5" s="51" t="n"/>
      <c r="C5" s="11" t="n">
        <v>8</v>
      </c>
      <c r="D5" s="41" t="inlineStr">
        <is>
          <t>h</t>
        </is>
      </c>
      <c r="E5" s="9" t="inlineStr">
        <is>
          <t>Base di conversione giornate → ore. Confermato: 8 ore.</t>
        </is>
      </c>
    </row>
    <row r="6">
      <c r="A6" s="10" t="inlineStr">
        <is>
          <t>Tariffa oraria — Front office</t>
        </is>
      </c>
      <c r="B6" s="51" t="n"/>
      <c r="C6" s="52" t="n"/>
      <c r="D6" s="41" t="inlineStr">
        <is>
          <t>€/h</t>
        </is>
      </c>
      <c r="E6" s="9" t="inlineStr">
        <is>
          <t>Ore erogate presso il cliente.</t>
        </is>
      </c>
    </row>
    <row r="7">
      <c r="A7" s="10" t="inlineStr">
        <is>
          <t>Tariffa oraria — Back office</t>
        </is>
      </c>
      <c r="B7" s="51" t="n"/>
      <c r="C7" s="52" t="n"/>
      <c r="D7" s="41" t="inlineStr">
        <is>
          <t>€/h</t>
        </is>
      </c>
      <c r="E7" s="9" t="inlineStr">
        <is>
          <t>Ore di lavoro interno (analisi, delivery, reportistica).</t>
        </is>
      </c>
    </row>
    <row r="8">
      <c r="A8" s="10" t="inlineStr">
        <is>
          <t>Tariffa oraria — Viaggio</t>
        </is>
      </c>
      <c r="B8" s="51" t="n"/>
      <c r="C8" s="52" t="n"/>
      <c r="D8" s="41" t="inlineStr">
        <is>
          <t>€/h</t>
        </is>
      </c>
      <c r="E8" s="9" t="inlineStr">
        <is>
          <t>Ore di trasferimento. Incluse nel monte ore complessivo di progetto.</t>
        </is>
      </c>
    </row>
    <row r="10">
      <c r="A10" s="10" t="inlineStr">
        <is>
          <t>Lead time target di progetto</t>
        </is>
      </c>
      <c r="B10" s="51" t="n"/>
      <c r="C10" s="11" t="n">
        <v>10</v>
      </c>
      <c r="D10" s="41" t="inlineStr">
        <is>
          <t>settimane</t>
        </is>
      </c>
      <c r="E10" s="9" t="inlineStr">
        <is>
          <t>Durata di calendario dichiarata in fase di impostazione.</t>
        </is>
      </c>
    </row>
    <row r="12">
      <c r="A12" s="37" t="inlineStr">
        <is>
          <t>Riferimenti usati dalle formule</t>
        </is>
      </c>
    </row>
    <row r="13">
      <c r="A13" s="39" t="inlineStr">
        <is>
          <t>Ore per giornata = Parametri!$C$5   ·   Tariffe = $C$6 / $C$7 / $C$8   ·   Lead time target = $C$10</t>
        </is>
      </c>
    </row>
  </sheetData>
  <mergeCells count="3">
    <mergeCell ref="A2:E2"/>
    <mergeCell ref="A1:E1"/>
    <mergeCell ref="A13:E13"/>
  </mergeCell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  <col width="30" customWidth="1" min="4" max="4"/>
    <col width="46" customWidth="1" min="5" max="5"/>
  </cols>
  <sheetData>
    <row r="1" ht="26" customHeight="1">
      <c r="A1" s="1" t="inlineStr">
        <is>
          <t>›  TEAM DI PROGETTO — RUOLI E NOMI</t>
        </is>
      </c>
      <c r="B1" s="2" t="n"/>
      <c r="C1" s="2" t="n"/>
      <c r="D1" s="2" t="n"/>
      <c r="E1" s="2" t="n"/>
    </row>
    <row r="2">
      <c r="A2" s="39" t="inlineStr">
        <is>
          <t>Compilare la colonna Nome. I ruoli sono quelli richiamati nelle colonne Owner e Partecipanti della WBS.</t>
        </is>
      </c>
    </row>
    <row r="4">
      <c r="A4" s="6" t="inlineStr">
        <is>
          <t>Ruolo</t>
        </is>
      </c>
      <c r="B4" s="7" t="inlineStr">
        <is>
          <t>Nome</t>
        </is>
      </c>
      <c r="C4" s="6" t="inlineStr">
        <is>
          <t>Seniority</t>
        </is>
      </c>
      <c r="D4" s="6" t="inlineStr">
        <is>
          <t>Presidio</t>
        </is>
      </c>
      <c r="E4" s="6" t="inlineStr">
        <is>
          <t>Note</t>
        </is>
      </c>
    </row>
    <row r="5" ht="30" customHeight="1">
      <c r="A5" s="10" t="inlineStr">
        <is>
          <t>Commerciale</t>
        </is>
      </c>
      <c r="B5" s="53" t="n"/>
      <c r="C5" s="41" t="inlineStr">
        <is>
          <t>Senior</t>
        </is>
      </c>
      <c r="D5" s="9" t="inlineStr">
        <is>
          <t>Fase 1 — convocazione kick off</t>
        </is>
      </c>
      <c r="E5" s="9" t="inlineStr">
        <is>
          <t>Invia la prima email al cliente per fissare il kick off.</t>
        </is>
      </c>
    </row>
    <row r="6" ht="30" customHeight="1">
      <c r="A6" s="10" t="inlineStr">
        <is>
          <t>Project Manager</t>
        </is>
      </c>
      <c r="B6" s="53" t="n"/>
      <c r="C6" s="41" t="inlineStr">
        <is>
          <t>Senior</t>
        </is>
      </c>
      <c r="D6" s="9" t="inlineStr">
        <is>
          <t>Fasi 1 → 12 — presidio di progetto</t>
        </is>
      </c>
      <c r="E6" s="9" t="inlineStr">
        <is>
          <t>Invia il follow-up post kick off con documento presentato e tracciato dati. Owner del piano.</t>
        </is>
      </c>
    </row>
    <row r="7" ht="30" customHeight="1">
      <c r="A7" s="10" t="inlineStr">
        <is>
          <t>Facilitatore senior</t>
        </is>
      </c>
      <c r="B7" s="53" t="inlineStr">
        <is>
          <t>Alessandro Bruti</t>
        </is>
      </c>
      <c r="C7" s="41" t="inlineStr">
        <is>
          <t>Senior</t>
        </is>
      </c>
      <c r="D7" s="9" t="inlineStr">
        <is>
          <t>Tutti i workshop con il cliente</t>
        </is>
      </c>
      <c r="E7" s="9" t="inlineStr">
        <is>
          <t>Conduce i workshop di revenue model, ICP, process design, tech stack e data model.</t>
        </is>
      </c>
    </row>
    <row r="8" ht="30" customHeight="1">
      <c r="A8" s="10" t="inlineStr">
        <is>
          <t>Consulente RevOps junior 1</t>
        </is>
      </c>
      <c r="B8" s="53" t="n"/>
      <c r="C8" s="41" t="inlineStr">
        <is>
          <t>Junior</t>
        </is>
      </c>
      <c r="D8" s="9" t="inlineStr">
        <is>
          <t>Workshop + back office</t>
        </is>
      </c>
      <c r="E8" s="9" t="inlineStr">
        <is>
          <t>In presenza ai workshop; analisi dati e compilazione file di delivery.</t>
        </is>
      </c>
    </row>
    <row r="9" ht="30" customHeight="1">
      <c r="A9" s="10" t="inlineStr">
        <is>
          <t>Consulente RevOps junior 2</t>
        </is>
      </c>
      <c r="B9" s="53" t="n"/>
      <c r="C9" s="41" t="inlineStr">
        <is>
          <t>Junior</t>
        </is>
      </c>
      <c r="D9" s="9" t="inlineStr">
        <is>
          <t>Workshop + back office</t>
        </is>
      </c>
      <c r="E9" s="9" t="inlineStr">
        <is>
          <t>In presenza ai workshop; supporto alla delivery.</t>
        </is>
      </c>
    </row>
  </sheetData>
  <mergeCells count="2">
    <mergeCell ref="A2:E2"/>
    <mergeCell ref="A1:E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2026-08-31T07:13:17Z</dcterms:created>
  <dcterms:modified xsi:type="dcterms:W3CDTF">2026-08-31T07:13:17Z</dcterms:modified>
</cp:coreProperties>
</file>