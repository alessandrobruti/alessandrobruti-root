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Riepilogo" sheetId="3" state="visible" r:id="rId3"/>
    <sheet xmlns:r="http://schemas.openxmlformats.org/officeDocument/2006/relationships" name="Sheet" sheetId="4" state="visible" r:id="rId4"/>
    <sheet xmlns:r="http://schemas.openxmlformats.org/officeDocument/2006/relationships" name="Parametri" sheetId="5" state="visible" r:id="rId5"/>
    <sheet xmlns:r="http://schemas.openxmlformats.org/officeDocument/2006/relationships" name="Ruoli" sheetId="6" state="visible" r:id="rId6"/>
  </sheets>
  <definedNames>
    <definedName name="_xlnm._FilterDatabase" localSheetId="0" hidden="1">'WBS'!$A$2:$AA$13</definedName>
    <definedName name="_xlnm.Print_Titles" localSheetId="0">'WBS'!$2:$2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-#,##0;&quot;-&quot;"/>
    <numFmt numFmtId="165" formatCode="#,##0.00\ &quot;€&quot;;-#,##0.00\ &quot;€&quot;;&quot;-&quot;"/>
    <numFmt numFmtId="166" formatCode="#,##0.00;-#,##0.00;&quot;-&quot;"/>
    <numFmt numFmtId="167" formatCode="&quot;S&quot;0"/>
    <numFmt numFmtId="168" formatCode=";;;"/>
    <numFmt numFmtId="169" formatCode="0.0%"/>
  </numFmts>
  <fonts count="9">
    <font>
      <name val="Calibri"/>
      <family val="2"/>
      <color theme="1"/>
      <sz val="11"/>
      <scheme val="minor"/>
    </font>
    <font>
      <name val="Manrope"/>
      <b val="1"/>
      <color rgb="00FFFFFF"/>
      <sz val="13"/>
    </font>
    <font>
      <name val="Manrope"/>
      <color rgb="006E6E6E"/>
      <sz val="8.5"/>
    </font>
    <font>
      <name val="Manrope"/>
      <b val="1"/>
      <color rgb="00FFFFFF"/>
      <sz val="9"/>
    </font>
    <font>
      <name val="Manrope"/>
      <b val="1"/>
      <color rgb="00000000"/>
      <sz val="9"/>
    </font>
    <font>
      <name val="Manrope"/>
      <b val="1"/>
      <color rgb="00000000"/>
      <sz val="10"/>
    </font>
    <font>
      <name val="Manrope"/>
      <color rgb="00000000"/>
      <sz val="9"/>
    </font>
    <font>
      <name val="Manrope"/>
      <color rgb="003A3A3A"/>
      <sz val="9"/>
    </font>
    <font>
      <name val="Manrope"/>
      <b val="1"/>
      <color rgb="003A3A3A"/>
      <sz val="9"/>
    </font>
  </fonts>
  <fills count="6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DC300"/>
        <bgColor rgb="FFFDC300"/>
      </patternFill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6">
    <border>
      <left/>
      <right/>
      <top/>
      <bottom/>
      <diagonal/>
    </border>
    <border>
      <bottom style="thick">
        <color rgb="00FDC3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DCDCDC"/>
      </bottom>
    </border>
    <border>
      <top style="thick">
        <color rgb="00FDC300"/>
      </top>
    </border>
    <border>
      <left style="thin">
        <color rgb="009B9B9B"/>
      </left>
      <right style="thin">
        <color rgb="009B9B9B"/>
      </right>
      <top style="thin">
        <color rgb="009B9B9B"/>
      </top>
      <bottom style="thin">
        <color rgb="009B9B9B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top"/>
    </xf>
    <xf numFmtId="0" fontId="6" fillId="0" borderId="3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164" fontId="6" fillId="4" borderId="2" applyAlignment="1" pivotButton="0" quotePrefix="0" xfId="0">
      <alignment horizontal="center" vertical="top"/>
    </xf>
    <xf numFmtId="164" fontId="7" fillId="5" borderId="3" applyAlignment="1" pivotButton="0" quotePrefix="0" xfId="0">
      <alignment horizontal="center" vertical="top"/>
    </xf>
    <xf numFmtId="166" fontId="6" fillId="4" borderId="2" applyAlignment="1" pivotButton="0" quotePrefix="0" xfId="0">
      <alignment horizontal="center" vertical="top"/>
    </xf>
    <xf numFmtId="166" fontId="7" fillId="5" borderId="3" applyAlignment="1" pivotButton="0" quotePrefix="0" xfId="0">
      <alignment horizontal="center" vertical="top"/>
    </xf>
    <xf numFmtId="165" fontId="7" fillId="5" borderId="3" applyAlignment="1" pivotButton="0" quotePrefix="0" xfId="0">
      <alignment horizontal="center" vertical="top"/>
    </xf>
    <xf numFmtId="0" fontId="3" fillId="2" borderId="4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center" vertical="center" wrapText="1"/>
    </xf>
    <xf numFmtId="166" fontId="3" fillId="2" borderId="4" applyAlignment="1" pivotButton="0" quotePrefix="0" xfId="0">
      <alignment horizontal="center" vertical="center" wrapText="1"/>
    </xf>
    <xf numFmtId="165" fontId="3" fillId="2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164" fontId="6" fillId="3" borderId="2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167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right" vertical="center"/>
    </xf>
    <xf numFmtId="0" fontId="0" fillId="4" borderId="0" pivotButton="0" quotePrefix="0" xfId="0"/>
    <xf numFmtId="0" fontId="4" fillId="0" borderId="0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top"/>
    </xf>
    <xf numFmtId="0" fontId="8" fillId="0" borderId="3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center" vertical="top"/>
    </xf>
    <xf numFmtId="0" fontId="7" fillId="0" borderId="3" applyAlignment="1" pivotButton="0" quotePrefix="0" xfId="0">
      <alignment horizontal="left" vertical="top" wrapText="1"/>
    </xf>
    <xf numFmtId="168" fontId="6" fillId="0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right" vertical="center"/>
    </xf>
    <xf numFmtId="0" fontId="0" fillId="2" borderId="4" pivotButton="0" quotePrefix="0" xfId="0"/>
    <xf numFmtId="0" fontId="4" fillId="0" borderId="0" pivotButton="0" quotePrefix="0" xfId="0"/>
    <xf numFmtId="164" fontId="8" fillId="5" borderId="5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6" fillId="0" borderId="3" applyAlignment="1" pivotButton="0" quotePrefix="0" xfId="0">
      <alignment horizontal="center" vertical="top"/>
    </xf>
    <xf numFmtId="0" fontId="2" fillId="0" borderId="3" applyAlignment="1" pivotButton="0" quotePrefix="0" xfId="0">
      <alignment horizontal="left" vertical="top" wrapText="1"/>
    </xf>
    <xf numFmtId="166" fontId="8" fillId="5" borderId="3" applyAlignment="1" pivotButton="0" quotePrefix="0" xfId="0">
      <alignment horizontal="center" vertical="top"/>
    </xf>
    <xf numFmtId="165" fontId="8" fillId="5" borderId="3" applyAlignment="1" pivotButton="0" quotePrefix="0" xfId="0">
      <alignment horizontal="center" vertical="top"/>
    </xf>
    <xf numFmtId="169" fontId="7" fillId="5" borderId="3" applyAlignment="1" pivotButton="0" quotePrefix="0" xfId="0">
      <alignment horizontal="center" vertical="top"/>
    </xf>
    <xf numFmtId="0" fontId="7" fillId="5" borderId="3" applyAlignment="1" pivotButton="0" quotePrefix="0" xfId="0">
      <alignment horizontal="center" vertical="top"/>
    </xf>
    <xf numFmtId="164" fontId="8" fillId="5" borderId="3" applyAlignment="1" pivotButton="0" quotePrefix="0" xfId="0">
      <alignment horizontal="center" vertical="top"/>
    </xf>
    <xf numFmtId="0" fontId="4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0" borderId="3" pivotButton="0" quotePrefix="0" xfId="0"/>
    <xf numFmtId="165" fontId="6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6">
    <dxf>
      <font>
        <name val="Manrope"/>
        <b val="1"/>
        <color rgb="00000000"/>
        <sz val="9"/>
      </font>
      <fill>
        <patternFill patternType="solid">
          <fgColor rgb="FFFDC300"/>
          <bgColor rgb="FFFDC300"/>
        </patternFill>
      </fill>
    </dxf>
    <dxf>
      <fill>
        <patternFill patternType="solid">
          <fgColor rgb="FFFDC300"/>
          <bgColor rgb="FFFDC300"/>
        </patternFill>
      </fill>
    </dxf>
    <dxf>
      <fill>
        <patternFill patternType="solid">
          <fgColor rgb="FF8C8C8C"/>
          <bgColor rgb="FF8C8C8C"/>
        </patternFill>
      </fill>
    </dxf>
    <dxf>
      <fill>
        <patternFill patternType="solid">
          <fgColor rgb="FF000000"/>
          <bgColor rgb="FF000000"/>
        </patternFill>
      </fill>
    </dxf>
    <dxf>
      <font>
        <name val="Manrope"/>
        <b val="1"/>
        <color rgb="00000000"/>
        <sz val="9"/>
      </font>
    </dxf>
    <dxf>
      <font>
        <name val="Manrope"/>
        <b val="1"/>
        <color rgb="00FFFFFF"/>
        <sz val="9"/>
      </font>
      <fill>
        <patternFill patternType="solid">
          <fgColor rgb="FF000000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WBS</author>
  </authors>
  <commentList>
    <comment ref="C2" authorId="0" shapeId="0">
      <text>
        <t>Piano allineato all'Offerta CX260803_Off_Laica_RevOps assessment B2B e B2C v1.1 del 28 ago 2026.
Colonne con intestazione GIALLA: da compilare a mano, celle con riquadro nero.
Celle su fondo GRIGIO: calcolate da formula.
Tariffe, ore per giornata e costi di trasferta si impostano nel foglio «Parametri»; i nomi del team nel foglio «Ruoli».</t>
      </text>
    </comment>
    <comment ref="G2" authorId="0" shapeId="0">
      <text>
        <t>Settimana RELATIVA: il progetto parte sempre dalla settimana 1.
La settimana di calendario da cui far partire il piano si imposta nel foglio «Timeline», in alto: cambiandola si spostano i mesi e le etichette di settimana senza toccare la WBS.</t>
      </text>
    </comment>
    <comment ref="T2" authorId="0" shapeId="0">
      <text>
        <t>Calcolata: N. incontri × Durata incontro (h) × N. persone ÷ Ore per giornata.
Per cambiare l'impegno, agire su quelle tre colonne.
Sono GIORNATE-UOMO aggregate, non giorni di calendario: 3 consulenti per mezza giornata dal cliente = 1,5 giornate front.</t>
      </text>
    </comment>
    <comment ref="U2" authorId="0" shapeId="0">
      <text>
        <t>Stime Impresoft. L'Offerta quantifica solo le ore erogate al cliente e il numero di trasferte: sul back office non dice nulla.</t>
      </text>
    </comment>
    <comment ref="V2" authorId="0" shapeId="0">
      <text>
        <t>Calcolata: N. incontri × N. persone × Ore di viaggio ÷ Ore per giornata, solo sulle fasi in presenza.</t>
      </text>
    </comment>
  </commentList>
</comments>
</file>

<file path=xl/comments/comment2.xml><?xml version="1.0" encoding="utf-8"?>
<comments xmlns="http://schemas.openxmlformats.org/spreadsheetml/2006/main">
  <authors>
    <author>WBS</author>
  </authors>
  <commentList>
    <comment ref="F2" authorId="0" shapeId="0">
      <text>
        <t>L'unico comando di questo foglio. La WBS ragiona sempre in settimane relative (1, 2, 3...): qui si dice da quale settimana di calendario parte la settimana 1.
Cambiando questo numero si spostano le etichette di settimana e la fascia dei mesi, senza toccare una sola cella della WBS — è così che si fanno le proiezioni.
L'anno di riferimento si imposta nel foglio «Parametri».</t>
      </text>
    </comment>
    <comment ref="E3" authorId="0" shapeId="0">
      <text>
        <t>Settimane relative, lette dalla WBS. Le etichette S.. in testa alle colonne sono le settimane di calendario corrispondenti, ricavate dallo shift in F2.</t>
      </text>
    </comment>
  </commentList>
</comments>
</file>

<file path=xl/comments/comment3.xml><?xml version="1.0" encoding="utf-8"?>
<comments xmlns="http://schemas.openxmlformats.org/spreadsheetml/2006/main">
  <authors>
    <author>WBS</author>
  </authors>
  <commentList>
    <comment ref="C7" authorId="0" shapeId="0">
      <text>
        <t>Tariffe fornite dal referente di progetto. Da qui si ricalcola tutto il costo del progetto e il margine nel foglio Riepilogo.</t>
      </text>
    </comment>
  </commentList>
</comments>
</file>

<file path=xl/comments/comment4.xml><?xml version="1.0" encoding="utf-8"?>
<comments xmlns="http://schemas.openxmlformats.org/spreadsheetml/2006/main">
  <authors>
    <author>WBS</author>
  </authors>
  <commentList>
    <comment ref="A2" authorId="0" shapeId="0">
      <text>
        <t>Sulla WBS le persone sono indicate come «RevOps Consultant Senior» e «junior» senza specializzazione funzionale, per scelta di pianificazione. L'Offerta nomina invece CX Strategist, Process Analyst e Integration Expert su workshop specifici.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1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34" customWidth="1" min="3" max="3"/>
    <col width="11" customWidth="1" min="4" max="4"/>
    <col width="13" customWidth="1" min="5" max="5"/>
    <col width="22" customWidth="1" min="6" max="6"/>
    <col width="8" customWidth="1" min="7" max="7"/>
    <col width="8" customWidth="1" min="8" max="8"/>
    <col width="8" customWidth="1" min="9" max="9"/>
    <col width="70" customWidth="1" min="10" max="10"/>
    <col width="40" customWidth="1" min="11" max="11"/>
    <col width="40" customWidth="1" min="12" max="12"/>
    <col width="34" customWidth="1" min="13" max="13"/>
    <col width="44" customWidth="1" min="14" max="14"/>
    <col width="26" customWidth="1" min="15" max="15"/>
    <col width="34" customWidth="1" min="16" max="16"/>
    <col width="8" customWidth="1" min="17" max="17"/>
    <col width="10" customWidth="1" min="18" max="18"/>
    <col width="8" customWidth="1" min="19" max="19"/>
    <col width="10" customWidth="1" min="20" max="20"/>
    <col width="10" customWidth="1" min="21" max="21"/>
    <col width="9" customWidth="1" min="22" max="22"/>
    <col width="40" customWidth="1" min="23" max="23"/>
    <col width="10" customWidth="1" min="24" max="24"/>
    <col width="10" customWidth="1" min="25" max="25"/>
    <col width="15" customWidth="1" min="26" max="26"/>
    <col width="52" customWidth="1" min="27" max="27"/>
  </cols>
  <sheetData>
    <row r="1" ht="26" customHeight="1">
      <c r="A1" s="1" t="inlineStr">
        <is>
          <t>›  WORK BREAKDOWN STRUCTURE — REVOPS ASSESSMENT B2B E B2C · LAICA S.P.A.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34" customHeight="1">
      <c r="A2" s="3" t="inlineStr">
        <is>
          <t>#</t>
        </is>
      </c>
      <c r="B2" s="3" t="inlineStr">
        <is>
          <t>Cod.
WBS</t>
        </is>
      </c>
      <c r="C2" s="3" t="inlineStr">
        <is>
          <t>Fase</t>
        </is>
      </c>
      <c r="D2" s="3" t="inlineStr">
        <is>
          <t>Tipo</t>
        </is>
      </c>
      <c r="E2" s="3" t="inlineStr">
        <is>
          <t>Modalità</t>
        </is>
      </c>
      <c r="F2" s="3" t="inlineStr">
        <is>
          <t>Blocco</t>
        </is>
      </c>
      <c r="G2" s="4" t="inlineStr">
        <is>
          <t>Sett.
inizio</t>
        </is>
      </c>
      <c r="H2" s="4" t="inlineStr">
        <is>
          <t>Durata
(sett.)</t>
        </is>
      </c>
      <c r="I2" s="3" t="inlineStr">
        <is>
          <t>Sett.
fine</t>
        </is>
      </c>
      <c r="J2" s="3" t="inlineStr">
        <is>
          <t>Descrizione</t>
        </is>
      </c>
      <c r="K2" s="3" t="inlineStr">
        <is>
          <t>Attività preparatorie</t>
        </is>
      </c>
      <c r="L2" s="3" t="inlineStr">
        <is>
          <t>Attività di follow-up</t>
        </is>
      </c>
      <c r="M2" s="3" t="inlineStr">
        <is>
          <t>Input dal cliente</t>
        </is>
      </c>
      <c r="N2" s="3" t="inlineStr">
        <is>
          <t>Output / Deliverable</t>
        </is>
      </c>
      <c r="O2" s="3" t="inlineStr">
        <is>
          <t>Owner</t>
        </is>
      </c>
      <c r="P2" s="3" t="inlineStr">
        <is>
          <t>Partecipanti</t>
        </is>
      </c>
      <c r="Q2" s="4" t="inlineStr">
        <is>
          <t>N.
incontri</t>
        </is>
      </c>
      <c r="R2" s="4" t="inlineStr">
        <is>
          <t>Durata
incontro (h)</t>
        </is>
      </c>
      <c r="S2" s="4" t="inlineStr">
        <is>
          <t>N.
persone</t>
        </is>
      </c>
      <c r="T2" s="3" t="inlineStr">
        <is>
          <t>gg Front
office</t>
        </is>
      </c>
      <c r="U2" s="4" t="inlineStr">
        <is>
          <t>gg Back
office</t>
        </is>
      </c>
      <c r="V2" s="3" t="inlineStr">
        <is>
          <t>gg
Viaggio</t>
        </is>
      </c>
      <c r="W2" s="3" t="inlineStr">
        <is>
          <t>Delivery (composizione team)</t>
        </is>
      </c>
      <c r="X2" s="3" t="inlineStr">
        <is>
          <t>Tot.
giornate</t>
        </is>
      </c>
      <c r="Y2" s="3" t="inlineStr">
        <is>
          <t>Ore
totali</t>
        </is>
      </c>
      <c r="Z2" s="3" t="inlineStr">
        <is>
          <t>Costo totale</t>
        </is>
      </c>
      <c r="AA2" s="3" t="inlineStr">
        <is>
          <t>Note</t>
        </is>
      </c>
    </row>
    <row r="3" ht="96" customHeight="1">
      <c r="A3" s="5" t="n">
        <v>1</v>
      </c>
      <c r="B3" s="6" t="inlineStr">
        <is>
          <t>1.1</t>
        </is>
      </c>
      <c r="C3" s="7" t="inlineStr">
        <is>
          <t>Kick-off e analisi preliminare dei dati</t>
        </is>
      </c>
      <c r="D3" s="6" t="inlineStr">
        <is>
          <t>Cliente</t>
        </is>
      </c>
      <c r="E3" s="6" t="inlineStr">
        <is>
          <t>Remoto</t>
        </is>
      </c>
      <c r="F3" s="6" t="inlineStr">
        <is>
          <t>1 · Avvio</t>
        </is>
      </c>
      <c r="G3" s="8" t="n">
        <v>1</v>
      </c>
      <c r="H3" s="8" t="n">
        <v>2</v>
      </c>
      <c r="I3" s="9">
        <f>IF(AND(G3&lt;&gt;"",H3&lt;&gt;""),G3+H3-1,"")</f>
        <v/>
      </c>
      <c r="J3" s="6" t="inlineStr">
        <is>
          <t>Incontro di avvio in remoto che sancisce l'apertura ufficiale del progetto: allineamento sulla governance, presentazione dei team e delle regole d'ingaggio tra tutti gli attori operativi e decisionali, condivisione della roadmap progettuale e del piano temporale di dettaglio con le date delle sessioni. Nella stessa sede si concordano le estrazioni da CRM ed ERP necessarie a comprendere la struttura dei dati di clienti e ordini, i punti di accesso all'informazione e la gestione dati attuale. L'analisi della base dati è condotta in modalità asincrona dai consulenti.</t>
        </is>
      </c>
      <c r="K3" s="6" t="inlineStr">
        <is>
          <t>Convocazione dell'incontro a cura del Commerciale; predisposizione delle slide di kick-off e della proposta di piano temporale (Gantt).</t>
        </is>
      </c>
      <c r="L3" s="6" t="inlineStr">
        <is>
          <t>E-mail di debrief con slide di kick-off e piano di lavoro definitivo allegati in PDF; analisi asincrona delle estrazioni ricevute.</t>
        </is>
      </c>
      <c r="M3" s="6" t="inlineStr">
        <is>
          <t>Estrazioni da CRM ed ERP su clienti e ordini; contatti dei referenti di progetto con adeguata autorità decisionale.</t>
        </is>
      </c>
      <c r="N3" s="6" t="inlineStr">
        <is>
          <t>Governance di progetto condivisa · piano temporale definitivo · e-mail di debrief con slide e piano in PDF · analisi preliminare della base dati.</t>
        </is>
      </c>
      <c r="O3" s="6" t="inlineStr">
        <is>
          <t>Commerciale (convocazione) → Project Manager (presidio)</t>
        </is>
      </c>
      <c r="P3" s="6" t="inlineStr">
        <is>
          <t>Impresoft: 3 persone. Laica: Managing Director, CMO, CFO, CSO, referenti gestione dati / IT.</t>
        </is>
      </c>
      <c r="Q3" s="8" t="n">
        <v>1</v>
      </c>
      <c r="R3" s="10" t="n">
        <v>1.5</v>
      </c>
      <c r="S3" s="8" t="n">
        <v>3</v>
      </c>
      <c r="T3" s="11">
        <f>IF(OR(Q3="",R3="",S3=""),0,Q3*R3*S3/Parametri!$C$6)</f>
        <v/>
      </c>
      <c r="U3" s="10" t="n">
        <v>3</v>
      </c>
      <c r="V3" s="11">
        <f>IF(AND(E3="In presenza",Q3&lt;&gt;"",S3&lt;&gt;""),Q3*S3*Parametri!$C$10/Parametri!$C$6,0)</f>
        <v/>
      </c>
      <c r="W3" s="6" t="inlineStr">
        <is>
          <t>3 persone in remoto (1 RevOps Consultant Senior + 2 junior)</t>
        </is>
      </c>
      <c r="X3" s="11">
        <f>T3+U3+V3</f>
        <v/>
      </c>
      <c r="Y3" s="11">
        <f>X3*Parametri!$C$6</f>
        <v/>
      </c>
      <c r="Z3" s="12">
        <f>T3*Parametri!$C$6*Parametri!$C$7+U3*Parametri!$C$6*Parametri!$C$8+V3*Parametri!$C$6*Parametri!$C$9</f>
        <v/>
      </c>
      <c r="AA3" s="6" t="inlineStr">
        <is>
          <t>Offerta § 6.1 — 90 minuti, remoto. Il contratto indica 2 risorse Impresoft (PM + RevOps Consultant): qui sono 3 per scelta di pianificazione. L'analisi dati non è un momento erogato al cliente: è back office dentro questa fase. gg back office: STIMA, non desunta dal contratto.</t>
        </is>
      </c>
    </row>
    <row r="4" ht="96" customHeight="1">
      <c r="A4" s="5" t="n">
        <v>2</v>
      </c>
      <c r="B4" s="6" t="inlineStr">
        <is>
          <t>1.2</t>
        </is>
      </c>
      <c r="C4" s="7" t="inlineStr">
        <is>
          <t>Workshop #1 — Revenue model B2B e B2C</t>
        </is>
      </c>
      <c r="D4" s="6" t="inlineStr">
        <is>
          <t>Cliente</t>
        </is>
      </c>
      <c r="E4" s="6" t="inlineStr">
        <is>
          <t>In presenza</t>
        </is>
      </c>
      <c r="F4" s="6" t="inlineStr">
        <is>
          <t>2 · Workshop</t>
        </is>
      </c>
      <c r="G4" s="8" t="n">
        <v>3</v>
      </c>
      <c r="H4" s="8" t="n">
        <v>1</v>
      </c>
      <c r="I4" s="9">
        <f>IF(AND(G4&lt;&gt;"",H4&lt;&gt;""),G4+H4-1,"")</f>
        <v/>
      </c>
      <c r="J4" s="6" t="inlineStr">
        <is>
          <t>Workshop in presenza per mappare le modalità con cui Laica genera valore sul canale B2B (distribuzione e OEM) e sui canali digitali B2C. Si analizza la proposta di valore per segmento, si mappano i canali di vendita e si esamina la struttura dei ricavi tra vendita dell'hardware e prodotti consumabili, costruendo il Revenue Model completo: value proposition, segmenti di clientela, competitor, canali, attività e risorse chiave, fonti di ricavo core, up-selling e cross-selling.</t>
        </is>
      </c>
      <c r="K4" s="6" t="inlineStr">
        <is>
          <t>Predisposizione del framework Revenue Model e condivisione dell'agenda.</t>
        </is>
      </c>
      <c r="L4" s="6" t="inlineStr">
        <is>
          <t>Compilazione del file di delivery, formalizzazione della mappa e restituzione al cliente; registrazione delle evidenze emerse.</t>
        </is>
      </c>
      <c r="M4" s="6" t="inlineStr">
        <is>
          <t>Disponibilità dei referenti di canale; dati di ricavo per linea di prodotto e per canale.</t>
        </is>
      </c>
      <c r="N4" s="6" t="inlineStr">
        <is>
          <t>Mappa formale del Revenue Model articolata per il canale B2B OEM e per i canali B2C.</t>
        </is>
      </c>
      <c r="O4" s="6" t="inlineStr">
        <is>
          <t>Project Manager</t>
        </is>
      </c>
      <c r="P4" s="6" t="inlineStr">
        <is>
          <t>Impresoft: 3 persone. Laica: Managing Director, Marketing Manager, CFO, CSO.</t>
        </is>
      </c>
      <c r="Q4" s="8" t="n">
        <v>1</v>
      </c>
      <c r="R4" s="10" t="n">
        <v>6</v>
      </c>
      <c r="S4" s="8" t="n">
        <v>3</v>
      </c>
      <c r="T4" s="11">
        <f>IF(OR(Q4="",R4="",S4=""),0,Q4*R4*S4/Parametri!$C$6)</f>
        <v/>
      </c>
      <c r="U4" s="10" t="n">
        <v>1.5</v>
      </c>
      <c r="V4" s="11">
        <f>IF(AND(E4="In presenza",Q4&lt;&gt;"",S4&lt;&gt;""),Q4*S4*Parametri!$C$10/Parametri!$C$6,0)</f>
        <v/>
      </c>
      <c r="W4" s="6" t="inlineStr">
        <is>
          <t>3 persone in presenza (1 RevOps Consultant Senior + 2 junior)</t>
        </is>
      </c>
      <c r="X4" s="11">
        <f>T4+U4+V4</f>
        <v/>
      </c>
      <c r="Y4" s="11">
        <f>X4*Parametri!$C$6</f>
        <v/>
      </c>
      <c r="Z4" s="12">
        <f>T4*Parametri!$C$6*Parametri!$C$7+U4*Parametri!$C$6*Parametri!$C$8+V4*Parametri!$C$6*Parametri!$C$9</f>
        <v/>
      </c>
      <c r="AA4" s="6" t="inlineStr">
        <is>
          <t>Offerta § 6.2 — 6 ore, in presenza, UN SOLO incontro per entrambi i canali. gg back office: STIMA.</t>
        </is>
      </c>
    </row>
    <row r="5" ht="96" customHeight="1">
      <c r="A5" s="5" t="n">
        <v>3</v>
      </c>
      <c r="B5" s="6" t="inlineStr">
        <is>
          <t>1.3</t>
        </is>
      </c>
      <c r="C5" s="7" t="inlineStr">
        <is>
          <t>Workshop #2 — ICP, target group e customer journey</t>
        </is>
      </c>
      <c r="D5" s="6" t="inlineStr">
        <is>
          <t>Cliente</t>
        </is>
      </c>
      <c r="E5" s="6" t="inlineStr">
        <is>
          <t>In presenza</t>
        </is>
      </c>
      <c r="F5" s="6" t="inlineStr">
        <is>
          <t>2 · Workshop</t>
        </is>
      </c>
      <c r="G5" s="8" t="n">
        <v>4</v>
      </c>
      <c r="H5" s="8" t="n">
        <v>1</v>
      </c>
      <c r="I5" s="9">
        <f>IF(AND(G5&lt;&gt;"",H5&lt;&gt;""),G5+H5-1,"")</f>
        <v/>
      </c>
      <c r="J5" s="6" t="inlineStr">
        <is>
          <t>Due sessioni in presenza — una dedicata al B2B/OEM e una al B2C/D2C — per definire i profili di cliente target e ricostruire il percorso d'acquisto nei mercati di riferimento. L'Ideal Customer Profile è costruito con metodologia SPICED; il customer journey è mappato lungo le fasi di acquisizione ed espansione del bowtie (consapevolezza, educazione, vendita, onboarding, soddisfazione, espansione), con la mappatura B2C estesa ai touchpoint proprietari e ai marketplace.</t>
        </is>
      </c>
      <c r="K5" s="6" t="inlineStr">
        <is>
          <t>Predisposizione delle schede ICP e della struttura di journey; condivisione dell'agenda delle due sessioni.</t>
        </is>
      </c>
      <c r="L5" s="6" t="inlineStr">
        <is>
          <t>Compilazione del file di delivery, formalizzazione delle schede e della mappa, restituzione al cliente; registrazione delle evidenze emerse.</t>
        </is>
      </c>
      <c r="M5" s="6" t="inlineStr">
        <is>
          <t>Disponibilità dei referenti marketing e sales per entrambe le sessioni.</t>
        </is>
      </c>
      <c r="N5" s="6" t="inlineStr">
        <is>
          <t>Schede ICP B2B e B2C per segmento · mappa dettagliata del Customer Journey multicanale.</t>
        </is>
      </c>
      <c r="O5" s="6" t="inlineStr">
        <is>
          <t>Project Manager</t>
        </is>
      </c>
      <c r="P5" s="6" t="inlineStr">
        <is>
          <t>Impresoft: 3 persone. Laica: Managing Director, Marketing Manager, CFO, CSO.</t>
        </is>
      </c>
      <c r="Q5" s="8" t="n">
        <v>2</v>
      </c>
      <c r="R5" s="10" t="n">
        <v>6</v>
      </c>
      <c r="S5" s="8" t="n">
        <v>3</v>
      </c>
      <c r="T5" s="11">
        <f>IF(OR(Q5="",R5="",S5=""),0,Q5*R5*S5/Parametri!$C$6)</f>
        <v/>
      </c>
      <c r="U5" s="10" t="n">
        <v>2</v>
      </c>
      <c r="V5" s="11">
        <f>IF(AND(E5="In presenza",Q5&lt;&gt;"",S5&lt;&gt;""),Q5*S5*Parametri!$C$10/Parametri!$C$6,0)</f>
        <v/>
      </c>
      <c r="W5" s="6" t="inlineStr">
        <is>
          <t>3 persone in presenza × 2 sessioni (1 RevOps Consultant Senior + 2 junior)</t>
        </is>
      </c>
      <c r="X5" s="11">
        <f>T5+U5+V5</f>
        <v/>
      </c>
      <c r="Y5" s="11">
        <f>X5*Parametri!$C$6</f>
        <v/>
      </c>
      <c r="Z5" s="12">
        <f>T5*Parametri!$C$6*Parametri!$C$7+U5*Parametri!$C$6*Parametri!$C$8+V5*Parametri!$C$6*Parametri!$C$9</f>
        <v/>
      </c>
      <c r="AA5" s="6" t="inlineStr">
        <is>
          <t>Offerta § 6.3 — 12 ore complessive: 2 workshop dedicati (B2B + B2C) di circa 6 ore ciascuno, in presenza. È la fase più pesante del progetto. gg back office: STIMA.</t>
        </is>
      </c>
    </row>
    <row r="6" ht="96" customHeight="1">
      <c r="A6" s="5" t="n">
        <v>4</v>
      </c>
      <c r="B6" s="6" t="inlineStr">
        <is>
          <t>1.4</t>
        </is>
      </c>
      <c r="C6" s="7" t="inlineStr">
        <is>
          <t>Workshop #3 — Process design</t>
        </is>
      </c>
      <c r="D6" s="6" t="inlineStr">
        <is>
          <t>Cliente</t>
        </is>
      </c>
      <c r="E6" s="6" t="inlineStr">
        <is>
          <t>In presenza</t>
        </is>
      </c>
      <c r="F6" s="6" t="inlineStr">
        <is>
          <t>2 · Workshop</t>
        </is>
      </c>
      <c r="G6" s="8" t="n">
        <v>5</v>
      </c>
      <c r="H6" s="8" t="n">
        <v>1</v>
      </c>
      <c r="I6" s="9">
        <f>IF(AND(G6&lt;&gt;"",H6&lt;&gt;""),G6+H6-1,"")</f>
        <v/>
      </c>
      <c r="J6" s="6" t="inlineStr">
        <is>
          <t>Workshop in presenza per mappare i flussi operativi correnti tra i dipartimenti: processi di Marketing, Sales, Service e Operations, con i relativi flussi e frizioni as-is. Si rileva cosa funziona e cosa non funziona nei processi in essere e si identificano i gap rispetto allo stato desiderato definito nel customer journey.</t>
        </is>
      </c>
      <c r="K6" s="6" t="inlineStr">
        <is>
          <t>Raccolta della documentazione di processo esistente; condivisione dell'agenda.</t>
        </is>
      </c>
      <c r="L6" s="6" t="inlineStr">
        <is>
          <t>Compilazione del file di delivery; avvio del diagramma dei flussi di processo as-is.</t>
        </is>
      </c>
      <c r="M6" s="6" t="inlineStr">
        <is>
          <t>Documentazione di processo; disponibilità dei process owner.</t>
        </is>
      </c>
      <c r="N6" s="6" t="inlineStr">
        <is>
          <t>Diagramma dei flussi di processo as-is — contributo del workshop alla gap analysis.</t>
        </is>
      </c>
      <c r="O6" s="6" t="inlineStr">
        <is>
          <t>Project Manager</t>
        </is>
      </c>
      <c r="P6" s="6" t="inlineStr">
        <is>
          <t>Impresoft: 3 persone. Laica: Marketing Manager, CSO, referente servizio clienti, key user operativi.</t>
        </is>
      </c>
      <c r="Q6" s="8" t="n">
        <v>1</v>
      </c>
      <c r="R6" s="10" t="n">
        <v>6</v>
      </c>
      <c r="S6" s="8" t="n">
        <v>3</v>
      </c>
      <c r="T6" s="11">
        <f>IF(OR(Q6="",R6="",S6=""),0,Q6*R6*S6/Parametri!$C$6)</f>
        <v/>
      </c>
      <c r="U6" s="10" t="n">
        <v>2</v>
      </c>
      <c r="V6" s="11">
        <f>IF(AND(E6="In presenza",Q6&lt;&gt;"",S6&lt;&gt;""),Q6*S6*Parametri!$C$10/Parametri!$C$6,0)</f>
        <v/>
      </c>
      <c r="W6" s="6" t="inlineStr">
        <is>
          <t>3 persone in presenza (1 RevOps Consultant Senior + 2 junior)</t>
        </is>
      </c>
      <c r="X6" s="11">
        <f>T6+U6+V6</f>
        <v/>
      </c>
      <c r="Y6" s="11">
        <f>X6*Parametri!$C$6</f>
        <v/>
      </c>
      <c r="Z6" s="12">
        <f>T6*Parametri!$C$6*Parametri!$C$7+U6*Parametri!$C$6*Parametri!$C$8+V6*Parametri!$C$6*Parametri!$C$9</f>
        <v/>
      </c>
      <c r="AA6" s="6" t="inlineStr">
        <is>
          <t>Offerta § 6.4 — 6 ore, in presenza. Il perimetro contrattuale copre Marketing, Sales, Service e Operations. Nel contratto process design e user research sono un unico workshop: le interviste sono tenute su una riga a parte per separare i blocchi di progetto. gg back office: STIMA.</t>
        </is>
      </c>
    </row>
    <row r="7" ht="96" customHeight="1">
      <c r="A7" s="5" t="n">
        <v>5</v>
      </c>
      <c r="B7" s="6" t="inlineStr">
        <is>
          <t>1.5</t>
        </is>
      </c>
      <c r="C7" s="7" t="inlineStr">
        <is>
          <t>Interviste one-to-one — user research</t>
        </is>
      </c>
      <c r="D7" s="6" t="inlineStr">
        <is>
          <t>Cliente</t>
        </is>
      </c>
      <c r="E7" s="6" t="inlineStr">
        <is>
          <t>Remoto</t>
        </is>
      </c>
      <c r="F7" s="6" t="inlineStr">
        <is>
          <t>3 · User research</t>
        </is>
      </c>
      <c r="G7" s="8" t="n">
        <v>6</v>
      </c>
      <c r="H7" s="8" t="n">
        <v>1</v>
      </c>
      <c r="I7" s="9">
        <f>IF(AND(G7&lt;&gt;"",H7&lt;&gt;""),G7+H7-1,"")</f>
        <v/>
      </c>
      <c r="J7" s="6" t="inlineStr">
        <is>
          <t>Cinque interviste individuali alle persone chiave di sales, marketing e customer care, condotte a valle del process design da un solo consulente. Sono interviste qualitative volte a raccogliere insight su come i processi sono vissuti quotidianamente e a far emergere le frizioni operative e tecnologiche che la mappatura di processo non rende visibili.</t>
        </is>
      </c>
      <c r="K7" s="6" t="inlineStr">
        <is>
          <t>Selezione degli intervistati con il cliente; predisposizione della guida di intervista.</t>
        </is>
      </c>
      <c r="L7" s="6" t="inlineStr">
        <is>
          <t>Sintesi trasversale delle interviste e integrazione nel documento di gap analysis.</t>
        </is>
      </c>
      <c r="M7" s="6" t="inlineStr">
        <is>
          <t>Individuazione e disponibilità delle 5 persone chiave da intervistare.</t>
        </is>
      </c>
      <c r="N7" s="6" t="inlineStr">
        <is>
          <t>Insight qualitativi · documento di sintesi dei punti di attrito operativi (gap analysis).</t>
        </is>
      </c>
      <c r="O7" s="6" t="inlineStr">
        <is>
          <t>Project Manager</t>
        </is>
      </c>
      <c r="P7" s="6" t="inlineStr">
        <is>
          <t>Impresoft: 1 RevOps Consultant junior. Laica: 5 persone chiave di sales, marketing e customer care.</t>
        </is>
      </c>
      <c r="Q7" s="8" t="n">
        <v>5</v>
      </c>
      <c r="R7" s="10" t="n">
        <v>1</v>
      </c>
      <c r="S7" s="8" t="n">
        <v>1</v>
      </c>
      <c r="T7" s="11">
        <f>IF(OR(Q7="",R7="",S7=""),0,Q7*R7*S7/Parametri!$C$6)</f>
        <v/>
      </c>
      <c r="U7" s="10" t="n">
        <v>1</v>
      </c>
      <c r="V7" s="11">
        <f>IF(AND(E7="In presenza",Q7&lt;&gt;"",S7&lt;&gt;""),Q7*S7*Parametri!$C$10/Parametri!$C$6,0)</f>
        <v/>
      </c>
      <c r="W7" s="6" t="inlineStr">
        <is>
          <t>1 persona in remoto (1 RevOps Consultant junior)</t>
        </is>
      </c>
      <c r="X7" s="11">
        <f>T7+U7+V7</f>
        <v/>
      </c>
      <c r="Y7" s="11">
        <f>X7*Parametri!$C$6</f>
        <v/>
      </c>
      <c r="Z7" s="12">
        <f>T7*Parametri!$C$6*Parametri!$C$7+U7*Parametri!$C$6*Parametri!$C$8+V7*Parametri!$C$6*Parametri!$C$9</f>
        <v/>
      </c>
      <c r="AA7" s="6" t="inlineStr">
        <is>
          <t>Offerta § 6.4 — il contratto fissa 5 interviste one-to-one ma NON la loro durata: 1 ora ciascuna è una stima. Attività compresa nel Workshop #3, isolata qui come blocco a sé. gg back office: STIMA.</t>
        </is>
      </c>
    </row>
    <row r="8" ht="96" customHeight="1">
      <c r="A8" s="5" t="n">
        <v>6</v>
      </c>
      <c r="B8" s="6" t="inlineStr">
        <is>
          <t>1.6</t>
        </is>
      </c>
      <c r="C8" s="7" t="inlineStr">
        <is>
          <t>Workshop #4 — Tech stack e data governance</t>
        </is>
      </c>
      <c r="D8" s="6" t="inlineStr">
        <is>
          <t>Cliente</t>
        </is>
      </c>
      <c r="E8" s="6" t="inlineStr">
        <is>
          <t>Remoto</t>
        </is>
      </c>
      <c r="F8" s="6" t="inlineStr">
        <is>
          <t>2 · Workshop</t>
        </is>
      </c>
      <c r="G8" s="8" t="n">
        <v>6</v>
      </c>
      <c r="H8" s="8" t="n">
        <v>1</v>
      </c>
      <c r="I8" s="9">
        <f>IF(AND(G8&lt;&gt;"",H8&lt;&gt;""),G8+H8-1,"")</f>
        <v/>
      </c>
      <c r="J8" s="6" t="inlineStr">
        <is>
          <t>Sessione in remoto per mappare le applicazioni in uso che impattano i processi di go-to-market: CRM HubSpot, gestionale/ERP, e-commerce, connettori marketplace. Si individua dove risiede l'informazione, come i dati fluiscono tra i sistemi e si analizzano le integrazioni esistenti, con l'obiettivo di fotografare lo stack as-is.</t>
        </is>
      </c>
      <c r="K8" s="6" t="inlineStr">
        <is>
          <t>Richiesta preventiva dell'inventario applicativo e delle licenze in essere.</t>
        </is>
      </c>
      <c r="L8" s="6" t="inlineStr">
        <is>
          <t>Compilazione del file di delivery; formalizzazione della mappa architetturale e degli schemi di integrazione.</t>
        </is>
      </c>
      <c r="M8" s="6" t="inlineStr">
        <is>
          <t>Inventario degli strumenti in uso; accesso ai referenti IT e, se necessario, ai fornitori software esterni.</t>
        </is>
      </c>
      <c r="N8" s="6" t="inlineStr">
        <is>
          <t>Mappa dell'architettura applicativa corrente · schema dei flussi di integrazione dati.</t>
        </is>
      </c>
      <c r="O8" s="6" t="inlineStr">
        <is>
          <t>Project Manager</t>
        </is>
      </c>
      <c r="P8" s="6" t="inlineStr">
        <is>
          <t>Impresoft: 3 persone. Laica: referenti IT / sistemi informativi, key user di processo, eventuali fornitori software esterni.</t>
        </is>
      </c>
      <c r="Q8" s="8" t="n">
        <v>1</v>
      </c>
      <c r="R8" s="10" t="n">
        <v>4</v>
      </c>
      <c r="S8" s="8" t="n">
        <v>3</v>
      </c>
      <c r="T8" s="11">
        <f>IF(OR(Q8="",R8="",S8=""),0,Q8*R8*S8/Parametri!$C$6)</f>
        <v/>
      </c>
      <c r="U8" s="10" t="n">
        <v>1.5</v>
      </c>
      <c r="V8" s="11">
        <f>IF(AND(E8="In presenza",Q8&lt;&gt;"",S8&lt;&gt;""),Q8*S8*Parametri!$C$10/Parametri!$C$6,0)</f>
        <v/>
      </c>
      <c r="W8" s="6" t="inlineStr">
        <is>
          <t>3 persone in remoto (1 RevOps Consultant Senior + 2 junior)</t>
        </is>
      </c>
      <c r="X8" s="11">
        <f>T8+U8+V8</f>
        <v/>
      </c>
      <c r="Y8" s="11">
        <f>X8*Parametri!$C$6</f>
        <v/>
      </c>
      <c r="Z8" s="12">
        <f>T8*Parametri!$C$6*Parametri!$C$7+U8*Parametri!$C$6*Parametri!$C$8+V8*Parametri!$C$6*Parametri!$C$9</f>
        <v/>
      </c>
      <c r="AA8" s="6" t="inlineStr">
        <is>
          <t>Offerta § 6.5 — 4 ore, in remoto. gg back office: STIMA.</t>
        </is>
      </c>
    </row>
    <row r="9" ht="96" customHeight="1">
      <c r="A9" s="5" t="n">
        <v>7</v>
      </c>
      <c r="B9" s="6" t="inlineStr">
        <is>
          <t>1.7</t>
        </is>
      </c>
      <c r="C9" s="7" t="inlineStr">
        <is>
          <t>Workshop #5 — Data model e prioritizzazione</t>
        </is>
      </c>
      <c r="D9" s="6" t="inlineStr">
        <is>
          <t>Cliente</t>
        </is>
      </c>
      <c r="E9" s="6" t="inlineStr">
        <is>
          <t>In presenza</t>
        </is>
      </c>
      <c r="F9" s="6" t="inlineStr">
        <is>
          <t>2 · Workshop</t>
        </is>
      </c>
      <c r="G9" s="8" t="n">
        <v>7</v>
      </c>
      <c r="H9" s="8" t="n">
        <v>1</v>
      </c>
      <c r="I9" s="9">
        <f>IF(AND(G9&lt;&gt;"",H9&lt;&gt;""),G9+H9-1,"")</f>
        <v/>
      </c>
      <c r="J9" s="6" t="inlineStr">
        <is>
          <t>Workshop in presenza per definire la struttura dei dati target — modello dati unificato per la gestione di cliente e prodotto — individuando i dati da tracciare lungo il customer journey, i KPI e i criteri di transizione. Nella seconda parte si consolidano le attività emerse e si prioritizzano per impatto, velocità a impatto e semplicità, classificandole con matrice di priorità.</t>
        </is>
      </c>
      <c r="K9" s="6" t="inlineStr">
        <is>
          <t>Predisposizione dell'albero dei KPI sul bowtie e della matrice di prioritizzazione.</t>
        </is>
      </c>
      <c r="L9" s="6" t="inlineStr">
        <is>
          <t>Formalizzazione del Data Model target; consolidamento delle priorità in vista della roadmap.</t>
        </is>
      </c>
      <c r="M9" s="6" t="inlineStr">
        <is>
          <t>Disponibilità dei dati necessari ad alimentare i KPI proposti.</t>
        </is>
      </c>
      <c r="N9" s="6" t="inlineStr">
        <is>
          <t>Data Model target · classificazione degli interventi per matrice di priorità.</t>
        </is>
      </c>
      <c r="O9" s="6" t="inlineStr">
        <is>
          <t>Project Manager</t>
        </is>
      </c>
      <c r="P9" s="6" t="inlineStr">
        <is>
          <t>Impresoft: 3 persone. Laica: Managing Director, Marketing Manager, CFO, CSO, referente IT.</t>
        </is>
      </c>
      <c r="Q9" s="8" t="n">
        <v>1</v>
      </c>
      <c r="R9" s="10" t="n">
        <v>6</v>
      </c>
      <c r="S9" s="8" t="n">
        <v>3</v>
      </c>
      <c r="T9" s="11">
        <f>IF(OR(Q9="",R9="",S9=""),0,Q9*R9*S9/Parametri!$C$6)</f>
        <v/>
      </c>
      <c r="U9" s="10" t="n">
        <v>1.6</v>
      </c>
      <c r="V9" s="11">
        <f>IF(AND(E9="In presenza",Q9&lt;&gt;"",S9&lt;&gt;""),Q9*S9*Parametri!$C$10/Parametri!$C$6,0)</f>
        <v/>
      </c>
      <c r="W9" s="6" t="inlineStr">
        <is>
          <t>3 persone in presenza (1 RevOps Consultant Senior + 2 junior)</t>
        </is>
      </c>
      <c r="X9" s="11">
        <f>T9+U9+V9</f>
        <v/>
      </c>
      <c r="Y9" s="11">
        <f>X9*Parametri!$C$6</f>
        <v/>
      </c>
      <c r="Z9" s="12">
        <f>T9*Parametri!$C$6*Parametri!$C$7+U9*Parametri!$C$6*Parametri!$C$8+V9*Parametri!$C$6*Parametri!$C$9</f>
        <v/>
      </c>
      <c r="AA9" s="6" t="inlineStr">
        <is>
          <t>Offerta § 6.6 — 6 ore, in presenza. Il contratto indica 4 risorse Impresoft sul § 6.6 (RevOps Consultant, CX Specialist, Integration Expert, PM): qui sono 3. La roadmap per wave non è una fase: è contenuto del report finale. gg back office: STIMA.</t>
        </is>
      </c>
    </row>
    <row r="10" ht="96" customHeight="1">
      <c r="A10" s="5" t="n">
        <v>8</v>
      </c>
      <c r="B10" s="6" t="inlineStr">
        <is>
          <t>1.8</t>
        </is>
      </c>
      <c r="C10" s="7" t="inlineStr">
        <is>
          <t>Review con il cliente</t>
        </is>
      </c>
      <c r="D10" s="6" t="inlineStr">
        <is>
          <t>Cliente</t>
        </is>
      </c>
      <c r="E10" s="6" t="inlineStr">
        <is>
          <t>Remoto</t>
        </is>
      </c>
      <c r="F10" s="6" t="inlineStr">
        <is>
          <t>4 · Sintesi e validazione</t>
        </is>
      </c>
      <c r="G10" s="8" t="n">
        <v>9</v>
      </c>
      <c r="H10" s="8" t="n">
        <v>1</v>
      </c>
      <c r="I10" s="9">
        <f>IF(AND(G10&lt;&gt;"",H10&lt;&gt;""),G10+H10-1,"")</f>
        <v/>
      </c>
      <c r="J10" s="6" t="inlineStr">
        <is>
          <t>Incontro di validazione con il team di lavoro lato cliente sui business case e sulle priorità consolidate, prima della formalizzazione del report. Si verifica l'allineamento su priorità e numeri e si stabilisce se procedere o iterare su specifici ambiti.</t>
        </is>
      </c>
      <c r="K10" s="6" t="inlineStr">
        <is>
          <t>Invio anticipato dei business case e della matrice di priorità per lettura preventiva.</t>
        </is>
      </c>
      <c r="L10" s="6" t="inlineStr">
        <is>
          <t>Recepimento delle iterazioni richieste e aggiornamento del report in costruzione.</t>
        </is>
      </c>
      <c r="M10" s="6" t="inlineStr">
        <is>
          <t>Presenza dei decisori lato cliente.</t>
        </is>
      </c>
      <c r="N10" s="6" t="inlineStr">
        <is>
          <t>Business case e priorità validati, oppure lista delle iterazioni richieste.</t>
        </is>
      </c>
      <c r="O10" s="6" t="inlineStr">
        <is>
          <t>Project Manager</t>
        </is>
      </c>
      <c r="P10" s="6" t="inlineStr">
        <is>
          <t>Impresoft: 3 persone. Laica: team di lavoro e decisori.</t>
        </is>
      </c>
      <c r="Q10" s="8" t="n">
        <v>1</v>
      </c>
      <c r="R10" s="10" t="n">
        <v>2</v>
      </c>
      <c r="S10" s="8" t="n">
        <v>3</v>
      </c>
      <c r="T10" s="11">
        <f>IF(OR(Q10="",R10="",S10=""),0,Q10*R10*S10/Parametri!$C$6)</f>
        <v/>
      </c>
      <c r="U10" s="10" t="n">
        <v>0.5</v>
      </c>
      <c r="V10" s="11">
        <f>IF(AND(E10="In presenza",Q10&lt;&gt;"",S10&lt;&gt;""),Q10*S10*Parametri!$C$10/Parametri!$C$6,0)</f>
        <v/>
      </c>
      <c r="W10" s="6" t="inlineStr">
        <is>
          <t>3 persone in remoto (1 RevOps Consultant Senior + 2 junior)</t>
        </is>
      </c>
      <c r="X10" s="11">
        <f>T10+U10+V10</f>
        <v/>
      </c>
      <c r="Y10" s="11">
        <f>X10*Parametri!$C$6</f>
        <v/>
      </c>
      <c r="Z10" s="12">
        <f>T10*Parametri!$C$6*Parametri!$C$7+U10*Parametri!$C$6*Parametri!$C$8+V10*Parametri!$C$6*Parametri!$C$9</f>
        <v/>
      </c>
      <c r="AA10" s="6" t="inlineStr">
        <is>
          <t>FUORI PERIMETRO CONTRATTUALE — l'Offerta non prevede una sessione di review tra il Workshop #5 e il meeting di presentazione. Mantenuta su richiesta, 2 ore in remoto. gg back office: STIMA.</t>
        </is>
      </c>
    </row>
    <row r="11" ht="96" customHeight="1">
      <c r="A11" s="5" t="n">
        <v>9</v>
      </c>
      <c r="B11" s="6" t="inlineStr">
        <is>
          <t>1.9</t>
        </is>
      </c>
      <c r="C11" s="7" t="inlineStr">
        <is>
          <t>Consolidamento report, roadmap e business case</t>
        </is>
      </c>
      <c r="D11" s="6" t="inlineStr">
        <is>
          <t>Interna</t>
        </is>
      </c>
      <c r="E11" s="6" t="inlineStr">
        <is>
          <t>Interna</t>
        </is>
      </c>
      <c r="F11" s="6" t="inlineStr">
        <is>
          <t>4 · Sintesi e validazione</t>
        </is>
      </c>
      <c r="G11" s="8" t="n">
        <v>6</v>
      </c>
      <c r="H11" s="8" t="n">
        <v>5</v>
      </c>
      <c r="I11" s="9">
        <f>IF(AND(G11&lt;&gt;"",H11&lt;&gt;""),G11+H11-1,"")</f>
        <v/>
      </c>
      <c r="J11" s="6" t="inlineStr">
        <is>
          <t>Fase interna di consolidamento dell'intero assessment: costruzione del report consolidato, della roadmap strategica di implementazione suddivisa per wave secondo le priorità individuate e del business case economico analitico a supporto. Il documento viene anticipato al cliente via e-mail in PDF prima del meeting di presentazione.</t>
        </is>
      </c>
      <c r="K11" s="6" t="inlineStr">
        <is>
          <t>Consolidamento dei file di delivery di tutte le sessioni precedenti e degli esiti della review.</t>
        </is>
      </c>
      <c r="L11" s="6" t="inlineStr">
        <is>
          <t>Invio anticipato del PDF al cliente in vista del meeting di presentazione.</t>
        </is>
      </c>
      <c r="M11" s="6" t="n"/>
      <c r="N11" s="6" t="inlineStr">
        <is>
          <t>Report consolidato di assessment · roadmap per wave · business case economico · PDF in lingua italiana.</t>
        </is>
      </c>
      <c r="O11" s="6" t="inlineStr">
        <is>
          <t>Project Manager</t>
        </is>
      </c>
      <c r="P11" s="6" t="inlineStr">
        <is>
          <t>Team di progetto</t>
        </is>
      </c>
      <c r="Q11" s="8" t="n"/>
      <c r="R11" s="10" t="n"/>
      <c r="S11" s="8" t="n"/>
      <c r="T11" s="11">
        <f>IF(OR(Q11="",R11="",S11=""),0,Q11*R11*S11/Parametri!$C$6)</f>
        <v/>
      </c>
      <c r="U11" s="10" t="n">
        <v>4</v>
      </c>
      <c r="V11" s="11">
        <f>IF(AND(E11="In presenza",Q11&lt;&gt;"",S11&lt;&gt;""),Q11*S11*Parametri!$C$10/Parametri!$C$6,0)</f>
        <v/>
      </c>
      <c r="W11" s="6" t="n"/>
      <c r="X11" s="11">
        <f>T11+U11+V11</f>
        <v/>
      </c>
      <c r="Y11" s="11">
        <f>X11*Parametri!$C$6</f>
        <v/>
      </c>
      <c r="Z11" s="12">
        <f>T11*Parametri!$C$6*Parametri!$C$7+U11*Parametri!$C$6*Parametri!$C$8+V11*Parametri!$C$6*Parametri!$C$9</f>
        <v/>
      </c>
      <c r="AA11" s="6" t="inlineStr">
        <is>
          <t>Offerta § 6.6 e § 11 — l'invio anticipato del PDF è la milestone che attiva la fatturazione del 50% residuo. gg back office: STIMA, ed è la voce più pesante del progetto.</t>
        </is>
      </c>
    </row>
    <row r="12" ht="96" customHeight="1">
      <c r="A12" s="5" t="n">
        <v>10</v>
      </c>
      <c r="B12" s="6" t="inlineStr">
        <is>
          <t>1.10</t>
        </is>
      </c>
      <c r="C12" s="7" t="inlineStr">
        <is>
          <t>Meeting di presentazione dell'output</t>
        </is>
      </c>
      <c r="D12" s="6" t="inlineStr">
        <is>
          <t>Cliente</t>
        </is>
      </c>
      <c r="E12" s="6" t="inlineStr">
        <is>
          <t>In presenza</t>
        </is>
      </c>
      <c r="F12" s="6" t="inlineStr">
        <is>
          <t>5 · Chiusura</t>
        </is>
      </c>
      <c r="G12" s="8" t="n">
        <v>10</v>
      </c>
      <c r="H12" s="8" t="n">
        <v>1</v>
      </c>
      <c r="I12" s="9">
        <f>IF(AND(G12&lt;&gt;"",H12&lt;&gt;""),G12+H12-1,"")</f>
        <v/>
      </c>
      <c r="J12" s="6" t="inlineStr">
        <is>
          <t>Presentazione in presenza dell'output finale dell'assessment — report consolidato, roadmap per wave e business case — come passaggio verso le successive scelte di investimento tecnologico e organizzativo. Si svolge circa 15 giorni dopo il workshop Data Model.</t>
        </is>
      </c>
      <c r="K12" s="6" t="inlineStr">
        <is>
          <t>Predisposizione delle slide di presentazione; conferma di agenda e partecipanti.</t>
        </is>
      </c>
      <c r="L12" s="6" t="inlineStr">
        <is>
          <t>Raccolta delle precisazioni e micro-rettifiche emerse in incontro, da recepire nella versione inglese del report.</t>
        </is>
      </c>
      <c r="M12" s="6" t="inlineStr">
        <is>
          <t>Presenza dei decisori lato cliente.</t>
        </is>
      </c>
      <c r="N12" s="6" t="inlineStr">
        <is>
          <t>Assessment presentato e consegnato · next step condivisi.</t>
        </is>
      </c>
      <c r="O12" s="6" t="inlineStr">
        <is>
          <t>Project Manager</t>
        </is>
      </c>
      <c r="P12" s="6" t="inlineStr">
        <is>
          <t>Impresoft: 3 persone. Laica: Managing Director, Marketing Manager, CFO, CSO, referente IT.</t>
        </is>
      </c>
      <c r="Q12" s="8" t="n">
        <v>1</v>
      </c>
      <c r="R12" s="10" t="n">
        <v>2</v>
      </c>
      <c r="S12" s="8" t="n">
        <v>3</v>
      </c>
      <c r="T12" s="11">
        <f>IF(OR(Q12="",R12="",S12=""),0,Q12*R12*S12/Parametri!$C$6)</f>
        <v/>
      </c>
      <c r="U12" s="10" t="n">
        <v>1</v>
      </c>
      <c r="V12" s="11">
        <f>IF(AND(E12="In presenza",Q12&lt;&gt;"",S12&lt;&gt;""),Q12*S12*Parametri!$C$10/Parametri!$C$6,0)</f>
        <v/>
      </c>
      <c r="W12" s="6" t="inlineStr">
        <is>
          <t>3 persone in presenza (1 RevOps Consultant Senior + 2 junior)</t>
        </is>
      </c>
      <c r="X12" s="11">
        <f>T12+U12+V12</f>
        <v/>
      </c>
      <c r="Y12" s="11">
        <f>X12*Parametri!$C$6</f>
        <v/>
      </c>
      <c r="Z12" s="12">
        <f>T12*Parametri!$C$6*Parametri!$C$7+U12*Parametri!$C$6*Parametri!$C$8+V12*Parametri!$C$6*Parametri!$C$9</f>
        <v/>
      </c>
      <c r="AA12" s="6" t="inlineStr">
        <is>
          <t>Offerta § 6.6 — 2 ore, in presenza, circa 15 giorni dopo il Workshop #5. VINCOLO DI PIANIFICAZIONE da rispettare nella colonna «Sett. inizio». gg back office: STIMA.</t>
        </is>
      </c>
    </row>
    <row r="13" ht="96" customHeight="1">
      <c r="A13" s="5" t="n">
        <v>11</v>
      </c>
      <c r="B13" s="6" t="inlineStr">
        <is>
          <t>1.11</t>
        </is>
      </c>
      <c r="C13" s="7" t="inlineStr">
        <is>
          <t>Redazione output in lingua inglese</t>
        </is>
      </c>
      <c r="D13" s="6" t="inlineStr">
        <is>
          <t>Interna</t>
        </is>
      </c>
      <c r="E13" s="6" t="inlineStr">
        <is>
          <t>Interna</t>
        </is>
      </c>
      <c r="F13" s="6" t="inlineStr">
        <is>
          <t>5 · Chiusura</t>
        </is>
      </c>
      <c r="G13" s="8" t="n">
        <v>10</v>
      </c>
      <c r="H13" s="8" t="n">
        <v>1</v>
      </c>
      <c r="I13" s="9">
        <f>IF(AND(G13&lt;&gt;"",H13&lt;&gt;""),G13+H13-1,"")</f>
        <v/>
      </c>
      <c r="J13" s="6" t="inlineStr">
        <is>
          <t>Redazione della versione inglese del report di assessment, che il contratto colloca esplicitamente dopo il meeting di presentazione per poter includere le precisazioni e le micro-rettifiche emerse durante l'incontro.</t>
        </is>
      </c>
      <c r="K13" s="6" t="inlineStr">
        <is>
          <t>Recepimento delle rettifiche emerse in presentazione.</t>
        </is>
      </c>
      <c r="L13" s="6" t="inlineStr">
        <is>
          <t>Consegna del PDF in lingua inglese.</t>
        </is>
      </c>
      <c r="M13" s="6" t="n"/>
      <c r="N13" s="6" t="inlineStr">
        <is>
          <t>Report di assessment in lingua inglese (PDF).</t>
        </is>
      </c>
      <c r="O13" s="6" t="inlineStr">
        <is>
          <t>Project Manager</t>
        </is>
      </c>
      <c r="P13" s="6" t="inlineStr">
        <is>
          <t>Team di progetto</t>
        </is>
      </c>
      <c r="Q13" s="8" t="n"/>
      <c r="R13" s="10" t="n"/>
      <c r="S13" s="8" t="n"/>
      <c r="T13" s="11">
        <f>IF(OR(Q13="",R13="",S13=""),0,Q13*R13*S13/Parametri!$C$6)</f>
        <v/>
      </c>
      <c r="U13" s="10" t="n">
        <v>0.5</v>
      </c>
      <c r="V13" s="11">
        <f>IF(AND(E13="In presenza",Q13&lt;&gt;"",S13&lt;&gt;""),Q13*S13*Parametri!$C$10/Parametri!$C$6,0)</f>
        <v/>
      </c>
      <c r="W13" s="6" t="n"/>
      <c r="X13" s="11">
        <f>T13+U13+V13</f>
        <v/>
      </c>
      <c r="Y13" s="11">
        <f>X13*Parametri!$C$6</f>
        <v/>
      </c>
      <c r="Z13" s="12">
        <f>T13*Parametri!$C$6*Parametri!$C$7+U13*Parametri!$C$6*Parametri!$C$8+V13*Parametri!$C$6*Parametri!$C$9</f>
        <v/>
      </c>
      <c r="AA13" s="6" t="inlineStr">
        <is>
          <t>Offerta § 6.6 — deliverable obbligatorio. ATTENZIONE: il § 6.7 esclude dall'offerta la «traduzione di testi» come servizio di terze parti, quindi la versione inglese è a carico interno. Questa coda cade OLTRE le 10 settimane dichiarate al § 8. gg back office: STIMA.</t>
        </is>
      </c>
    </row>
    <row r="14" ht="22" customHeight="1">
      <c r="A14" s="13" t="inlineStr">
        <is>
          <t>TOTALE PROGETTO</t>
        </is>
      </c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4">
        <f>SUM(Q3:Q13)</f>
        <v/>
      </c>
      <c r="R14" s="13" t="n"/>
      <c r="S14" s="13" t="n"/>
      <c r="T14" s="15">
        <f>SUM(T3:T13)</f>
        <v/>
      </c>
      <c r="U14" s="15">
        <f>SUM(U3:U13)</f>
        <v/>
      </c>
      <c r="V14" s="15">
        <f>SUM(V3:V13)</f>
        <v/>
      </c>
      <c r="W14" s="13" t="n"/>
      <c r="X14" s="15">
        <f>SUM(X3:X13)</f>
        <v/>
      </c>
      <c r="Y14" s="15">
        <f>SUM(Y3:Y13)</f>
        <v/>
      </c>
      <c r="Z14" s="16">
        <f>SUM(Z3:Z13)</f>
        <v/>
      </c>
      <c r="AA14" s="13" t="n"/>
    </row>
  </sheetData>
  <autoFilter ref="A2:AA13"/>
  <mergeCells count="2">
    <mergeCell ref="A1:AA1"/>
    <mergeCell ref="A14:P14"/>
  </mergeCells>
  <dataValidations count="2">
    <dataValidation sqref="D3:D13" showDropDown="0" showInputMessage="0" showErrorMessage="0" allowBlank="1" type="list">
      <formula1>"Cliente,Interna"</formula1>
    </dataValidation>
    <dataValidation sqref="E3:E13" showDropDown="0" showInputMessage="0" showErrorMessage="0" allowBlank="1" type="list">
      <formula1>"In presenza,Remoto,Interna"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2"/>
  <sheetViews>
    <sheetView showGridLines="0"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1" customWidth="1" min="3" max="3"/>
    <col width="22" customWidth="1" min="4" max="4"/>
    <col width="8" customWidth="1" min="5" max="5"/>
    <col width="8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</cols>
  <sheetData>
    <row r="1" ht="26" customHeight="1">
      <c r="A1" s="1" t="inlineStr">
        <is>
          <t>›  TIMELINE DI PROGETTO — SETTIMANE RELATIVE SU CALENDARIO REALE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17" t="inlineStr">
        <is>
          <t>Parti dalla settimana ISO  ›</t>
        </is>
      </c>
      <c r="F2" s="18" t="n">
        <v>41</v>
      </c>
      <c r="G2" s="19">
        <f>CHOOSE(MONTH(DATE(Parametri!$C$15,1,4)-WEEKDAY(DATE(Parametri!$C$15,1,4),3)+7*(G$3-1)),"Gen","Feb","Mar","Apr","Mag","Giu","Lug","Ago","Set","Ott","Nov","Dic")</f>
        <v/>
      </c>
      <c r="H2" s="19">
        <f>CHOOSE(MONTH(DATE(Parametri!$C$15,1,4)-WEEKDAY(DATE(Parametri!$C$15,1,4),3)+7*(H$3-1)),"Gen","Feb","Mar","Apr","Mag","Giu","Lug","Ago","Set","Ott","Nov","Dic")</f>
        <v/>
      </c>
      <c r="I2" s="19">
        <f>CHOOSE(MONTH(DATE(Parametri!$C$15,1,4)-WEEKDAY(DATE(Parametri!$C$15,1,4),3)+7*(I$3-1)),"Gen","Feb","Mar","Apr","Mag","Giu","Lug","Ago","Set","Ott","Nov","Dic")</f>
        <v/>
      </c>
      <c r="J2" s="19">
        <f>CHOOSE(MONTH(DATE(Parametri!$C$15,1,4)-WEEKDAY(DATE(Parametri!$C$15,1,4),3)+7*(J$3-1)),"Gen","Feb","Mar","Apr","Mag","Giu","Lug","Ago","Set","Ott","Nov","Dic")</f>
        <v/>
      </c>
      <c r="K2" s="19">
        <f>CHOOSE(MONTH(DATE(Parametri!$C$15,1,4)-WEEKDAY(DATE(Parametri!$C$15,1,4),3)+7*(K$3-1)),"Gen","Feb","Mar","Apr","Mag","Giu","Lug","Ago","Set","Ott","Nov","Dic")</f>
        <v/>
      </c>
      <c r="L2" s="19">
        <f>CHOOSE(MONTH(DATE(Parametri!$C$15,1,4)-WEEKDAY(DATE(Parametri!$C$15,1,4),3)+7*(L$3-1)),"Gen","Feb","Mar","Apr","Mag","Giu","Lug","Ago","Set","Ott","Nov","Dic")</f>
        <v/>
      </c>
      <c r="M2" s="19">
        <f>CHOOSE(MONTH(DATE(Parametri!$C$15,1,4)-WEEKDAY(DATE(Parametri!$C$15,1,4),3)+7*(M$3-1)),"Gen","Feb","Mar","Apr","Mag","Giu","Lug","Ago","Set","Ott","Nov","Dic")</f>
        <v/>
      </c>
      <c r="N2" s="19">
        <f>CHOOSE(MONTH(DATE(Parametri!$C$15,1,4)-WEEKDAY(DATE(Parametri!$C$15,1,4),3)+7*(N$3-1)),"Gen","Feb","Mar","Apr","Mag","Giu","Lug","Ago","Set","Ott","Nov","Dic")</f>
        <v/>
      </c>
      <c r="O2" s="19">
        <f>CHOOSE(MONTH(DATE(Parametri!$C$15,1,4)-WEEKDAY(DATE(Parametri!$C$15,1,4),3)+7*(O$3-1)),"Gen","Feb","Mar","Apr","Mag","Giu","Lug","Ago","Set","Ott","Nov","Dic")</f>
        <v/>
      </c>
      <c r="P2" s="19">
        <f>CHOOSE(MONTH(DATE(Parametri!$C$15,1,4)-WEEKDAY(DATE(Parametri!$C$15,1,4),3)+7*(P$3-1)),"Gen","Feb","Mar","Apr","Mag","Giu","Lug","Ago","Set","Ott","Nov","Dic")</f>
        <v/>
      </c>
      <c r="Q2" s="19">
        <f>CHOOSE(MONTH(DATE(Parametri!$C$15,1,4)-WEEKDAY(DATE(Parametri!$C$15,1,4),3)+7*(Q$3-1)),"Gen","Feb","Mar","Apr","Mag","Giu","Lug","Ago","Set","Ott","Nov","Dic")</f>
        <v/>
      </c>
      <c r="R2" s="19">
        <f>CHOOSE(MONTH(DATE(Parametri!$C$15,1,4)-WEEKDAY(DATE(Parametri!$C$15,1,4),3)+7*(R$3-1)),"Gen","Feb","Mar","Apr","Mag","Giu","Lug","Ago","Set","Ott","Nov","Dic")</f>
        <v/>
      </c>
    </row>
    <row r="3" ht="24" customHeight="1">
      <c r="A3" s="3" t="inlineStr">
        <is>
          <t>#</t>
        </is>
      </c>
      <c r="B3" s="3" t="inlineStr">
        <is>
          <t>Fase</t>
        </is>
      </c>
      <c r="C3" s="3" t="inlineStr">
        <is>
          <t>Tipo</t>
        </is>
      </c>
      <c r="D3" s="3" t="inlineStr">
        <is>
          <t>Blocco</t>
        </is>
      </c>
      <c r="E3" s="3" t="inlineStr">
        <is>
          <t>Da
sett.</t>
        </is>
      </c>
      <c r="F3" s="3" t="inlineStr">
        <is>
          <t>A
sett.</t>
        </is>
      </c>
      <c r="G3" s="20">
        <f>$F$2+0</f>
        <v/>
      </c>
      <c r="H3" s="20">
        <f>$F$2+1</f>
        <v/>
      </c>
      <c r="I3" s="20">
        <f>$F$2+2</f>
        <v/>
      </c>
      <c r="J3" s="20">
        <f>$F$2+3</f>
        <v/>
      </c>
      <c r="K3" s="20">
        <f>$F$2+4</f>
        <v/>
      </c>
      <c r="L3" s="20">
        <f>$F$2+5</f>
        <v/>
      </c>
      <c r="M3" s="20">
        <f>$F$2+6</f>
        <v/>
      </c>
      <c r="N3" s="20">
        <f>$F$2+7</f>
        <v/>
      </c>
      <c r="O3" s="20">
        <f>$F$2+8</f>
        <v/>
      </c>
      <c r="P3" s="20">
        <f>$F$2+9</f>
        <v/>
      </c>
      <c r="Q3" s="20">
        <f>$F$2+10</f>
        <v/>
      </c>
      <c r="R3" s="20">
        <f>$F$2+11</f>
        <v/>
      </c>
    </row>
    <row r="4" ht="18" customHeight="1">
      <c r="A4" s="21" t="inlineStr">
        <is>
          <t>Settimane con fasi in parallelo  ›</t>
        </is>
      </c>
      <c r="B4" s="22" t="n"/>
      <c r="C4" s="22" t="n"/>
      <c r="D4" s="22" t="n"/>
      <c r="E4" s="22" t="n"/>
      <c r="F4" s="22" t="n"/>
      <c r="G4" s="23">
        <f>IF(G16&gt;1,"›","")</f>
        <v/>
      </c>
      <c r="H4" s="23">
        <f>IF(H16&gt;1,"›","")</f>
        <v/>
      </c>
      <c r="I4" s="23">
        <f>IF(I16&gt;1,"›","")</f>
        <v/>
      </c>
      <c r="J4" s="23">
        <f>IF(J16&gt;1,"›","")</f>
        <v/>
      </c>
      <c r="K4" s="23">
        <f>IF(K16&gt;1,"›","")</f>
        <v/>
      </c>
      <c r="L4" s="23">
        <f>IF(L16&gt;1,"›","")</f>
        <v/>
      </c>
      <c r="M4" s="23">
        <f>IF(M16&gt;1,"›","")</f>
        <v/>
      </c>
      <c r="N4" s="23">
        <f>IF(N16&gt;1,"›","")</f>
        <v/>
      </c>
      <c r="O4" s="23">
        <f>IF(O16&gt;1,"›","")</f>
        <v/>
      </c>
      <c r="P4" s="23">
        <f>IF(P16&gt;1,"›","")</f>
        <v/>
      </c>
      <c r="Q4" s="23">
        <f>IF(Q16&gt;1,"›","")</f>
        <v/>
      </c>
      <c r="R4" s="23">
        <f>IF(R16&gt;1,"›","")</f>
        <v/>
      </c>
    </row>
    <row r="5" ht="24" customHeight="1">
      <c r="A5" s="24">
        <f>WBS!A3</f>
        <v/>
      </c>
      <c r="B5" s="25">
        <f>WBS!C3</f>
        <v/>
      </c>
      <c r="C5" s="26">
        <f>WBS!D3</f>
        <v/>
      </c>
      <c r="D5" s="27">
        <f>WBS!F3</f>
        <v/>
      </c>
      <c r="E5" s="24">
        <f>WBS!G3</f>
        <v/>
      </c>
      <c r="F5" s="24">
        <f>WBS!I3</f>
        <v/>
      </c>
      <c r="G5" s="28">
        <f>IF(AND($E5&lt;&gt;"",$F5&lt;&gt;"",$E5&lt;=1,$F5&gt;=1),1,"")</f>
        <v/>
      </c>
      <c r="H5" s="28">
        <f>IF(AND($E5&lt;&gt;"",$F5&lt;&gt;"",$E5&lt;=2,$F5&gt;=2),1,"")</f>
        <v/>
      </c>
      <c r="I5" s="28">
        <f>IF(AND($E5&lt;&gt;"",$F5&lt;&gt;"",$E5&lt;=3,$F5&gt;=3),1,"")</f>
        <v/>
      </c>
      <c r="J5" s="28">
        <f>IF(AND($E5&lt;&gt;"",$F5&lt;&gt;"",$E5&lt;=4,$F5&gt;=4),1,"")</f>
        <v/>
      </c>
      <c r="K5" s="28">
        <f>IF(AND($E5&lt;&gt;"",$F5&lt;&gt;"",$E5&lt;=5,$F5&gt;=5),1,"")</f>
        <v/>
      </c>
      <c r="L5" s="28">
        <f>IF(AND($E5&lt;&gt;"",$F5&lt;&gt;"",$E5&lt;=6,$F5&gt;=6),1,"")</f>
        <v/>
      </c>
      <c r="M5" s="28">
        <f>IF(AND($E5&lt;&gt;"",$F5&lt;&gt;"",$E5&lt;=7,$F5&gt;=7),1,"")</f>
        <v/>
      </c>
      <c r="N5" s="28">
        <f>IF(AND($E5&lt;&gt;"",$F5&lt;&gt;"",$E5&lt;=8,$F5&gt;=8),1,"")</f>
        <v/>
      </c>
      <c r="O5" s="28">
        <f>IF(AND($E5&lt;&gt;"",$F5&lt;&gt;"",$E5&lt;=9,$F5&gt;=9),1,"")</f>
        <v/>
      </c>
      <c r="P5" s="28">
        <f>IF(AND($E5&lt;&gt;"",$F5&lt;&gt;"",$E5&lt;=10,$F5&gt;=10),1,"")</f>
        <v/>
      </c>
      <c r="Q5" s="28">
        <f>IF(AND($E5&lt;&gt;"",$F5&lt;&gt;"",$E5&lt;=11,$F5&gt;=11),1,"")</f>
        <v/>
      </c>
      <c r="R5" s="28">
        <f>IF(AND($E5&lt;&gt;"",$F5&lt;&gt;"",$E5&lt;=12,$F5&gt;=12),1,"")</f>
        <v/>
      </c>
    </row>
    <row r="6" ht="24" customHeight="1">
      <c r="A6" s="24">
        <f>WBS!A4</f>
        <v/>
      </c>
      <c r="B6" s="25">
        <f>WBS!C4</f>
        <v/>
      </c>
      <c r="C6" s="26">
        <f>WBS!D4</f>
        <v/>
      </c>
      <c r="D6" s="27">
        <f>WBS!F4</f>
        <v/>
      </c>
      <c r="E6" s="24">
        <f>WBS!G4</f>
        <v/>
      </c>
      <c r="F6" s="24">
        <f>WBS!I4</f>
        <v/>
      </c>
      <c r="G6" s="28">
        <f>IF(AND($E6&lt;&gt;"",$F6&lt;&gt;"",$E6&lt;=1,$F6&gt;=1),1,"")</f>
        <v/>
      </c>
      <c r="H6" s="28">
        <f>IF(AND($E6&lt;&gt;"",$F6&lt;&gt;"",$E6&lt;=2,$F6&gt;=2),1,"")</f>
        <v/>
      </c>
      <c r="I6" s="28">
        <f>IF(AND($E6&lt;&gt;"",$F6&lt;&gt;"",$E6&lt;=3,$F6&gt;=3),1,"")</f>
        <v/>
      </c>
      <c r="J6" s="28">
        <f>IF(AND($E6&lt;&gt;"",$F6&lt;&gt;"",$E6&lt;=4,$F6&gt;=4),1,"")</f>
        <v/>
      </c>
      <c r="K6" s="28">
        <f>IF(AND($E6&lt;&gt;"",$F6&lt;&gt;"",$E6&lt;=5,$F6&gt;=5),1,"")</f>
        <v/>
      </c>
      <c r="L6" s="28">
        <f>IF(AND($E6&lt;&gt;"",$F6&lt;&gt;"",$E6&lt;=6,$F6&gt;=6),1,"")</f>
        <v/>
      </c>
      <c r="M6" s="28">
        <f>IF(AND($E6&lt;&gt;"",$F6&lt;&gt;"",$E6&lt;=7,$F6&gt;=7),1,"")</f>
        <v/>
      </c>
      <c r="N6" s="28">
        <f>IF(AND($E6&lt;&gt;"",$F6&lt;&gt;"",$E6&lt;=8,$F6&gt;=8),1,"")</f>
        <v/>
      </c>
      <c r="O6" s="28">
        <f>IF(AND($E6&lt;&gt;"",$F6&lt;&gt;"",$E6&lt;=9,$F6&gt;=9),1,"")</f>
        <v/>
      </c>
      <c r="P6" s="28">
        <f>IF(AND($E6&lt;&gt;"",$F6&lt;&gt;"",$E6&lt;=10,$F6&gt;=10),1,"")</f>
        <v/>
      </c>
      <c r="Q6" s="28">
        <f>IF(AND($E6&lt;&gt;"",$F6&lt;&gt;"",$E6&lt;=11,$F6&gt;=11),1,"")</f>
        <v/>
      </c>
      <c r="R6" s="28">
        <f>IF(AND($E6&lt;&gt;"",$F6&lt;&gt;"",$E6&lt;=12,$F6&gt;=12),1,"")</f>
        <v/>
      </c>
    </row>
    <row r="7" ht="24" customHeight="1">
      <c r="A7" s="24">
        <f>WBS!A5</f>
        <v/>
      </c>
      <c r="B7" s="25">
        <f>WBS!C5</f>
        <v/>
      </c>
      <c r="C7" s="26">
        <f>WBS!D5</f>
        <v/>
      </c>
      <c r="D7" s="27">
        <f>WBS!F5</f>
        <v/>
      </c>
      <c r="E7" s="24">
        <f>WBS!G5</f>
        <v/>
      </c>
      <c r="F7" s="24">
        <f>WBS!I5</f>
        <v/>
      </c>
      <c r="G7" s="28">
        <f>IF(AND($E7&lt;&gt;"",$F7&lt;&gt;"",$E7&lt;=1,$F7&gt;=1),1,"")</f>
        <v/>
      </c>
      <c r="H7" s="28">
        <f>IF(AND($E7&lt;&gt;"",$F7&lt;&gt;"",$E7&lt;=2,$F7&gt;=2),1,"")</f>
        <v/>
      </c>
      <c r="I7" s="28">
        <f>IF(AND($E7&lt;&gt;"",$F7&lt;&gt;"",$E7&lt;=3,$F7&gt;=3),1,"")</f>
        <v/>
      </c>
      <c r="J7" s="28">
        <f>IF(AND($E7&lt;&gt;"",$F7&lt;&gt;"",$E7&lt;=4,$F7&gt;=4),1,"")</f>
        <v/>
      </c>
      <c r="K7" s="28">
        <f>IF(AND($E7&lt;&gt;"",$F7&lt;&gt;"",$E7&lt;=5,$F7&gt;=5),1,"")</f>
        <v/>
      </c>
      <c r="L7" s="28">
        <f>IF(AND($E7&lt;&gt;"",$F7&lt;&gt;"",$E7&lt;=6,$F7&gt;=6),1,"")</f>
        <v/>
      </c>
      <c r="M7" s="28">
        <f>IF(AND($E7&lt;&gt;"",$F7&lt;&gt;"",$E7&lt;=7,$F7&gt;=7),1,"")</f>
        <v/>
      </c>
      <c r="N7" s="28">
        <f>IF(AND($E7&lt;&gt;"",$F7&lt;&gt;"",$E7&lt;=8,$F7&gt;=8),1,"")</f>
        <v/>
      </c>
      <c r="O7" s="28">
        <f>IF(AND($E7&lt;&gt;"",$F7&lt;&gt;"",$E7&lt;=9,$F7&gt;=9),1,"")</f>
        <v/>
      </c>
      <c r="P7" s="28">
        <f>IF(AND($E7&lt;&gt;"",$F7&lt;&gt;"",$E7&lt;=10,$F7&gt;=10),1,"")</f>
        <v/>
      </c>
      <c r="Q7" s="28">
        <f>IF(AND($E7&lt;&gt;"",$F7&lt;&gt;"",$E7&lt;=11,$F7&gt;=11),1,"")</f>
        <v/>
      </c>
      <c r="R7" s="28">
        <f>IF(AND($E7&lt;&gt;"",$F7&lt;&gt;"",$E7&lt;=12,$F7&gt;=12),1,"")</f>
        <v/>
      </c>
    </row>
    <row r="8" ht="24" customHeight="1">
      <c r="A8" s="24">
        <f>WBS!A6</f>
        <v/>
      </c>
      <c r="B8" s="25">
        <f>WBS!C6</f>
        <v/>
      </c>
      <c r="C8" s="26">
        <f>WBS!D6</f>
        <v/>
      </c>
      <c r="D8" s="27">
        <f>WBS!F6</f>
        <v/>
      </c>
      <c r="E8" s="24">
        <f>WBS!G6</f>
        <v/>
      </c>
      <c r="F8" s="24">
        <f>WBS!I6</f>
        <v/>
      </c>
      <c r="G8" s="28">
        <f>IF(AND($E8&lt;&gt;"",$F8&lt;&gt;"",$E8&lt;=1,$F8&gt;=1),1,"")</f>
        <v/>
      </c>
      <c r="H8" s="28">
        <f>IF(AND($E8&lt;&gt;"",$F8&lt;&gt;"",$E8&lt;=2,$F8&gt;=2),1,"")</f>
        <v/>
      </c>
      <c r="I8" s="28">
        <f>IF(AND($E8&lt;&gt;"",$F8&lt;&gt;"",$E8&lt;=3,$F8&gt;=3),1,"")</f>
        <v/>
      </c>
      <c r="J8" s="28">
        <f>IF(AND($E8&lt;&gt;"",$F8&lt;&gt;"",$E8&lt;=4,$F8&gt;=4),1,"")</f>
        <v/>
      </c>
      <c r="K8" s="28">
        <f>IF(AND($E8&lt;&gt;"",$F8&lt;&gt;"",$E8&lt;=5,$F8&gt;=5),1,"")</f>
        <v/>
      </c>
      <c r="L8" s="28">
        <f>IF(AND($E8&lt;&gt;"",$F8&lt;&gt;"",$E8&lt;=6,$F8&gt;=6),1,"")</f>
        <v/>
      </c>
      <c r="M8" s="28">
        <f>IF(AND($E8&lt;&gt;"",$F8&lt;&gt;"",$E8&lt;=7,$F8&gt;=7),1,"")</f>
        <v/>
      </c>
      <c r="N8" s="28">
        <f>IF(AND($E8&lt;&gt;"",$F8&lt;&gt;"",$E8&lt;=8,$F8&gt;=8),1,"")</f>
        <v/>
      </c>
      <c r="O8" s="28">
        <f>IF(AND($E8&lt;&gt;"",$F8&lt;&gt;"",$E8&lt;=9,$F8&gt;=9),1,"")</f>
        <v/>
      </c>
      <c r="P8" s="28">
        <f>IF(AND($E8&lt;&gt;"",$F8&lt;&gt;"",$E8&lt;=10,$F8&gt;=10),1,"")</f>
        <v/>
      </c>
      <c r="Q8" s="28">
        <f>IF(AND($E8&lt;&gt;"",$F8&lt;&gt;"",$E8&lt;=11,$F8&gt;=11),1,"")</f>
        <v/>
      </c>
      <c r="R8" s="28">
        <f>IF(AND($E8&lt;&gt;"",$F8&lt;&gt;"",$E8&lt;=12,$F8&gt;=12),1,"")</f>
        <v/>
      </c>
    </row>
    <row r="9" ht="24" customHeight="1">
      <c r="A9" s="24">
        <f>WBS!A7</f>
        <v/>
      </c>
      <c r="B9" s="25">
        <f>WBS!C7</f>
        <v/>
      </c>
      <c r="C9" s="26">
        <f>WBS!D7</f>
        <v/>
      </c>
      <c r="D9" s="27">
        <f>WBS!F7</f>
        <v/>
      </c>
      <c r="E9" s="24">
        <f>WBS!G7</f>
        <v/>
      </c>
      <c r="F9" s="24">
        <f>WBS!I7</f>
        <v/>
      </c>
      <c r="G9" s="28">
        <f>IF(AND($E9&lt;&gt;"",$F9&lt;&gt;"",$E9&lt;=1,$F9&gt;=1),1,"")</f>
        <v/>
      </c>
      <c r="H9" s="28">
        <f>IF(AND($E9&lt;&gt;"",$F9&lt;&gt;"",$E9&lt;=2,$F9&gt;=2),1,"")</f>
        <v/>
      </c>
      <c r="I9" s="28">
        <f>IF(AND($E9&lt;&gt;"",$F9&lt;&gt;"",$E9&lt;=3,$F9&gt;=3),1,"")</f>
        <v/>
      </c>
      <c r="J9" s="28">
        <f>IF(AND($E9&lt;&gt;"",$F9&lt;&gt;"",$E9&lt;=4,$F9&gt;=4),1,"")</f>
        <v/>
      </c>
      <c r="K9" s="28">
        <f>IF(AND($E9&lt;&gt;"",$F9&lt;&gt;"",$E9&lt;=5,$F9&gt;=5),1,"")</f>
        <v/>
      </c>
      <c r="L9" s="28">
        <f>IF(AND($E9&lt;&gt;"",$F9&lt;&gt;"",$E9&lt;=6,$F9&gt;=6),1,"")</f>
        <v/>
      </c>
      <c r="M9" s="28">
        <f>IF(AND($E9&lt;&gt;"",$F9&lt;&gt;"",$E9&lt;=7,$F9&gt;=7),1,"")</f>
        <v/>
      </c>
      <c r="N9" s="28">
        <f>IF(AND($E9&lt;&gt;"",$F9&lt;&gt;"",$E9&lt;=8,$F9&gt;=8),1,"")</f>
        <v/>
      </c>
      <c r="O9" s="28">
        <f>IF(AND($E9&lt;&gt;"",$F9&lt;&gt;"",$E9&lt;=9,$F9&gt;=9),1,"")</f>
        <v/>
      </c>
      <c r="P9" s="28">
        <f>IF(AND($E9&lt;&gt;"",$F9&lt;&gt;"",$E9&lt;=10,$F9&gt;=10),1,"")</f>
        <v/>
      </c>
      <c r="Q9" s="28">
        <f>IF(AND($E9&lt;&gt;"",$F9&lt;&gt;"",$E9&lt;=11,$F9&gt;=11),1,"")</f>
        <v/>
      </c>
      <c r="R9" s="28">
        <f>IF(AND($E9&lt;&gt;"",$F9&lt;&gt;"",$E9&lt;=12,$F9&gt;=12),1,"")</f>
        <v/>
      </c>
    </row>
    <row r="10" ht="24" customHeight="1">
      <c r="A10" s="24">
        <f>WBS!A8</f>
        <v/>
      </c>
      <c r="B10" s="25">
        <f>WBS!C8</f>
        <v/>
      </c>
      <c r="C10" s="26">
        <f>WBS!D8</f>
        <v/>
      </c>
      <c r="D10" s="27">
        <f>WBS!F8</f>
        <v/>
      </c>
      <c r="E10" s="24">
        <f>WBS!G8</f>
        <v/>
      </c>
      <c r="F10" s="24">
        <f>WBS!I8</f>
        <v/>
      </c>
      <c r="G10" s="28">
        <f>IF(AND($E10&lt;&gt;"",$F10&lt;&gt;"",$E10&lt;=1,$F10&gt;=1),1,"")</f>
        <v/>
      </c>
      <c r="H10" s="28">
        <f>IF(AND($E10&lt;&gt;"",$F10&lt;&gt;"",$E10&lt;=2,$F10&gt;=2),1,"")</f>
        <v/>
      </c>
      <c r="I10" s="28">
        <f>IF(AND($E10&lt;&gt;"",$F10&lt;&gt;"",$E10&lt;=3,$F10&gt;=3),1,"")</f>
        <v/>
      </c>
      <c r="J10" s="28">
        <f>IF(AND($E10&lt;&gt;"",$F10&lt;&gt;"",$E10&lt;=4,$F10&gt;=4),1,"")</f>
        <v/>
      </c>
      <c r="K10" s="28">
        <f>IF(AND($E10&lt;&gt;"",$F10&lt;&gt;"",$E10&lt;=5,$F10&gt;=5),1,"")</f>
        <v/>
      </c>
      <c r="L10" s="28">
        <f>IF(AND($E10&lt;&gt;"",$F10&lt;&gt;"",$E10&lt;=6,$F10&gt;=6),1,"")</f>
        <v/>
      </c>
      <c r="M10" s="28">
        <f>IF(AND($E10&lt;&gt;"",$F10&lt;&gt;"",$E10&lt;=7,$F10&gt;=7),1,"")</f>
        <v/>
      </c>
      <c r="N10" s="28">
        <f>IF(AND($E10&lt;&gt;"",$F10&lt;&gt;"",$E10&lt;=8,$F10&gt;=8),1,"")</f>
        <v/>
      </c>
      <c r="O10" s="28">
        <f>IF(AND($E10&lt;&gt;"",$F10&lt;&gt;"",$E10&lt;=9,$F10&gt;=9),1,"")</f>
        <v/>
      </c>
      <c r="P10" s="28">
        <f>IF(AND($E10&lt;&gt;"",$F10&lt;&gt;"",$E10&lt;=10,$F10&gt;=10),1,"")</f>
        <v/>
      </c>
      <c r="Q10" s="28">
        <f>IF(AND($E10&lt;&gt;"",$F10&lt;&gt;"",$E10&lt;=11,$F10&gt;=11),1,"")</f>
        <v/>
      </c>
      <c r="R10" s="28">
        <f>IF(AND($E10&lt;&gt;"",$F10&lt;&gt;"",$E10&lt;=12,$F10&gt;=12),1,"")</f>
        <v/>
      </c>
    </row>
    <row r="11" ht="24" customHeight="1">
      <c r="A11" s="24">
        <f>WBS!A9</f>
        <v/>
      </c>
      <c r="B11" s="25">
        <f>WBS!C9</f>
        <v/>
      </c>
      <c r="C11" s="26">
        <f>WBS!D9</f>
        <v/>
      </c>
      <c r="D11" s="27">
        <f>WBS!F9</f>
        <v/>
      </c>
      <c r="E11" s="24">
        <f>WBS!G9</f>
        <v/>
      </c>
      <c r="F11" s="24">
        <f>WBS!I9</f>
        <v/>
      </c>
      <c r="G11" s="28">
        <f>IF(AND($E11&lt;&gt;"",$F11&lt;&gt;"",$E11&lt;=1,$F11&gt;=1),1,"")</f>
        <v/>
      </c>
      <c r="H11" s="28">
        <f>IF(AND($E11&lt;&gt;"",$F11&lt;&gt;"",$E11&lt;=2,$F11&gt;=2),1,"")</f>
        <v/>
      </c>
      <c r="I11" s="28">
        <f>IF(AND($E11&lt;&gt;"",$F11&lt;&gt;"",$E11&lt;=3,$F11&gt;=3),1,"")</f>
        <v/>
      </c>
      <c r="J11" s="28">
        <f>IF(AND($E11&lt;&gt;"",$F11&lt;&gt;"",$E11&lt;=4,$F11&gt;=4),1,"")</f>
        <v/>
      </c>
      <c r="K11" s="28">
        <f>IF(AND($E11&lt;&gt;"",$F11&lt;&gt;"",$E11&lt;=5,$F11&gt;=5),1,"")</f>
        <v/>
      </c>
      <c r="L11" s="28">
        <f>IF(AND($E11&lt;&gt;"",$F11&lt;&gt;"",$E11&lt;=6,$F11&gt;=6),1,"")</f>
        <v/>
      </c>
      <c r="M11" s="28">
        <f>IF(AND($E11&lt;&gt;"",$F11&lt;&gt;"",$E11&lt;=7,$F11&gt;=7),1,"")</f>
        <v/>
      </c>
      <c r="N11" s="28">
        <f>IF(AND($E11&lt;&gt;"",$F11&lt;&gt;"",$E11&lt;=8,$F11&gt;=8),1,"")</f>
        <v/>
      </c>
      <c r="O11" s="28">
        <f>IF(AND($E11&lt;&gt;"",$F11&lt;&gt;"",$E11&lt;=9,$F11&gt;=9),1,"")</f>
        <v/>
      </c>
      <c r="P11" s="28">
        <f>IF(AND($E11&lt;&gt;"",$F11&lt;&gt;"",$E11&lt;=10,$F11&gt;=10),1,"")</f>
        <v/>
      </c>
      <c r="Q11" s="28">
        <f>IF(AND($E11&lt;&gt;"",$F11&lt;&gt;"",$E11&lt;=11,$F11&gt;=11),1,"")</f>
        <v/>
      </c>
      <c r="R11" s="28">
        <f>IF(AND($E11&lt;&gt;"",$F11&lt;&gt;"",$E11&lt;=12,$F11&gt;=12),1,"")</f>
        <v/>
      </c>
    </row>
    <row r="12" ht="24" customHeight="1">
      <c r="A12" s="24">
        <f>WBS!A10</f>
        <v/>
      </c>
      <c r="B12" s="25">
        <f>WBS!C10</f>
        <v/>
      </c>
      <c r="C12" s="26">
        <f>WBS!D10</f>
        <v/>
      </c>
      <c r="D12" s="27">
        <f>WBS!F10</f>
        <v/>
      </c>
      <c r="E12" s="24">
        <f>WBS!G10</f>
        <v/>
      </c>
      <c r="F12" s="24">
        <f>WBS!I10</f>
        <v/>
      </c>
      <c r="G12" s="28">
        <f>IF(AND($E12&lt;&gt;"",$F12&lt;&gt;"",$E12&lt;=1,$F12&gt;=1),1,"")</f>
        <v/>
      </c>
      <c r="H12" s="28">
        <f>IF(AND($E12&lt;&gt;"",$F12&lt;&gt;"",$E12&lt;=2,$F12&gt;=2),1,"")</f>
        <v/>
      </c>
      <c r="I12" s="28">
        <f>IF(AND($E12&lt;&gt;"",$F12&lt;&gt;"",$E12&lt;=3,$F12&gt;=3),1,"")</f>
        <v/>
      </c>
      <c r="J12" s="28">
        <f>IF(AND($E12&lt;&gt;"",$F12&lt;&gt;"",$E12&lt;=4,$F12&gt;=4),1,"")</f>
        <v/>
      </c>
      <c r="K12" s="28">
        <f>IF(AND($E12&lt;&gt;"",$F12&lt;&gt;"",$E12&lt;=5,$F12&gt;=5),1,"")</f>
        <v/>
      </c>
      <c r="L12" s="28">
        <f>IF(AND($E12&lt;&gt;"",$F12&lt;&gt;"",$E12&lt;=6,$F12&gt;=6),1,"")</f>
        <v/>
      </c>
      <c r="M12" s="28">
        <f>IF(AND($E12&lt;&gt;"",$F12&lt;&gt;"",$E12&lt;=7,$F12&gt;=7),1,"")</f>
        <v/>
      </c>
      <c r="N12" s="28">
        <f>IF(AND($E12&lt;&gt;"",$F12&lt;&gt;"",$E12&lt;=8,$F12&gt;=8),1,"")</f>
        <v/>
      </c>
      <c r="O12" s="28">
        <f>IF(AND($E12&lt;&gt;"",$F12&lt;&gt;"",$E12&lt;=9,$F12&gt;=9),1,"")</f>
        <v/>
      </c>
      <c r="P12" s="28">
        <f>IF(AND($E12&lt;&gt;"",$F12&lt;&gt;"",$E12&lt;=10,$F12&gt;=10),1,"")</f>
        <v/>
      </c>
      <c r="Q12" s="28">
        <f>IF(AND($E12&lt;&gt;"",$F12&lt;&gt;"",$E12&lt;=11,$F12&gt;=11),1,"")</f>
        <v/>
      </c>
      <c r="R12" s="28">
        <f>IF(AND($E12&lt;&gt;"",$F12&lt;&gt;"",$E12&lt;=12,$F12&gt;=12),1,"")</f>
        <v/>
      </c>
    </row>
    <row r="13" ht="24" customHeight="1">
      <c r="A13" s="24">
        <f>WBS!A11</f>
        <v/>
      </c>
      <c r="B13" s="25">
        <f>WBS!C11</f>
        <v/>
      </c>
      <c r="C13" s="26">
        <f>WBS!D11</f>
        <v/>
      </c>
      <c r="D13" s="27">
        <f>WBS!F11</f>
        <v/>
      </c>
      <c r="E13" s="24">
        <f>WBS!G11</f>
        <v/>
      </c>
      <c r="F13" s="24">
        <f>WBS!I11</f>
        <v/>
      </c>
      <c r="G13" s="28">
        <f>IF(AND($E13&lt;&gt;"",$F13&lt;&gt;"",$E13&lt;=1,$F13&gt;=1),1,"")</f>
        <v/>
      </c>
      <c r="H13" s="28">
        <f>IF(AND($E13&lt;&gt;"",$F13&lt;&gt;"",$E13&lt;=2,$F13&gt;=2),1,"")</f>
        <v/>
      </c>
      <c r="I13" s="28">
        <f>IF(AND($E13&lt;&gt;"",$F13&lt;&gt;"",$E13&lt;=3,$F13&gt;=3),1,"")</f>
        <v/>
      </c>
      <c r="J13" s="28">
        <f>IF(AND($E13&lt;&gt;"",$F13&lt;&gt;"",$E13&lt;=4,$F13&gt;=4),1,"")</f>
        <v/>
      </c>
      <c r="K13" s="28">
        <f>IF(AND($E13&lt;&gt;"",$F13&lt;&gt;"",$E13&lt;=5,$F13&gt;=5),1,"")</f>
        <v/>
      </c>
      <c r="L13" s="28">
        <f>IF(AND($E13&lt;&gt;"",$F13&lt;&gt;"",$E13&lt;=6,$F13&gt;=6),1,"")</f>
        <v/>
      </c>
      <c r="M13" s="28">
        <f>IF(AND($E13&lt;&gt;"",$F13&lt;&gt;"",$E13&lt;=7,$F13&gt;=7),1,"")</f>
        <v/>
      </c>
      <c r="N13" s="28">
        <f>IF(AND($E13&lt;&gt;"",$F13&lt;&gt;"",$E13&lt;=8,$F13&gt;=8),1,"")</f>
        <v/>
      </c>
      <c r="O13" s="28">
        <f>IF(AND($E13&lt;&gt;"",$F13&lt;&gt;"",$E13&lt;=9,$F13&gt;=9),1,"")</f>
        <v/>
      </c>
      <c r="P13" s="28">
        <f>IF(AND($E13&lt;&gt;"",$F13&lt;&gt;"",$E13&lt;=10,$F13&gt;=10),1,"")</f>
        <v/>
      </c>
      <c r="Q13" s="28">
        <f>IF(AND($E13&lt;&gt;"",$F13&lt;&gt;"",$E13&lt;=11,$F13&gt;=11),1,"")</f>
        <v/>
      </c>
      <c r="R13" s="28">
        <f>IF(AND($E13&lt;&gt;"",$F13&lt;&gt;"",$E13&lt;=12,$F13&gt;=12),1,"")</f>
        <v/>
      </c>
    </row>
    <row r="14" ht="24" customHeight="1">
      <c r="A14" s="24">
        <f>WBS!A12</f>
        <v/>
      </c>
      <c r="B14" s="25">
        <f>WBS!C12</f>
        <v/>
      </c>
      <c r="C14" s="26">
        <f>WBS!D12</f>
        <v/>
      </c>
      <c r="D14" s="27">
        <f>WBS!F12</f>
        <v/>
      </c>
      <c r="E14" s="24">
        <f>WBS!G12</f>
        <v/>
      </c>
      <c r="F14" s="24">
        <f>WBS!I12</f>
        <v/>
      </c>
      <c r="G14" s="28">
        <f>IF(AND($E14&lt;&gt;"",$F14&lt;&gt;"",$E14&lt;=1,$F14&gt;=1),1,"")</f>
        <v/>
      </c>
      <c r="H14" s="28">
        <f>IF(AND($E14&lt;&gt;"",$F14&lt;&gt;"",$E14&lt;=2,$F14&gt;=2),1,"")</f>
        <v/>
      </c>
      <c r="I14" s="28">
        <f>IF(AND($E14&lt;&gt;"",$F14&lt;&gt;"",$E14&lt;=3,$F14&gt;=3),1,"")</f>
        <v/>
      </c>
      <c r="J14" s="28">
        <f>IF(AND($E14&lt;&gt;"",$F14&lt;&gt;"",$E14&lt;=4,$F14&gt;=4),1,"")</f>
        <v/>
      </c>
      <c r="K14" s="28">
        <f>IF(AND($E14&lt;&gt;"",$F14&lt;&gt;"",$E14&lt;=5,$F14&gt;=5),1,"")</f>
        <v/>
      </c>
      <c r="L14" s="28">
        <f>IF(AND($E14&lt;&gt;"",$F14&lt;&gt;"",$E14&lt;=6,$F14&gt;=6),1,"")</f>
        <v/>
      </c>
      <c r="M14" s="28">
        <f>IF(AND($E14&lt;&gt;"",$F14&lt;&gt;"",$E14&lt;=7,$F14&gt;=7),1,"")</f>
        <v/>
      </c>
      <c r="N14" s="28">
        <f>IF(AND($E14&lt;&gt;"",$F14&lt;&gt;"",$E14&lt;=8,$F14&gt;=8),1,"")</f>
        <v/>
      </c>
      <c r="O14" s="28">
        <f>IF(AND($E14&lt;&gt;"",$F14&lt;&gt;"",$E14&lt;=9,$F14&gt;=9),1,"")</f>
        <v/>
      </c>
      <c r="P14" s="28">
        <f>IF(AND($E14&lt;&gt;"",$F14&lt;&gt;"",$E14&lt;=10,$F14&gt;=10),1,"")</f>
        <v/>
      </c>
      <c r="Q14" s="28">
        <f>IF(AND($E14&lt;&gt;"",$F14&lt;&gt;"",$E14&lt;=11,$F14&gt;=11),1,"")</f>
        <v/>
      </c>
      <c r="R14" s="28">
        <f>IF(AND($E14&lt;&gt;"",$F14&lt;&gt;"",$E14&lt;=12,$F14&gt;=12),1,"")</f>
        <v/>
      </c>
    </row>
    <row r="15" ht="24" customHeight="1">
      <c r="A15" s="24">
        <f>WBS!A13</f>
        <v/>
      </c>
      <c r="B15" s="25">
        <f>WBS!C13</f>
        <v/>
      </c>
      <c r="C15" s="26">
        <f>WBS!D13</f>
        <v/>
      </c>
      <c r="D15" s="27">
        <f>WBS!F13</f>
        <v/>
      </c>
      <c r="E15" s="24">
        <f>WBS!G13</f>
        <v/>
      </c>
      <c r="F15" s="24">
        <f>WBS!I13</f>
        <v/>
      </c>
      <c r="G15" s="28">
        <f>IF(AND($E15&lt;&gt;"",$F15&lt;&gt;"",$E15&lt;=1,$F15&gt;=1),1,"")</f>
        <v/>
      </c>
      <c r="H15" s="28">
        <f>IF(AND($E15&lt;&gt;"",$F15&lt;&gt;"",$E15&lt;=2,$F15&gt;=2),1,"")</f>
        <v/>
      </c>
      <c r="I15" s="28">
        <f>IF(AND($E15&lt;&gt;"",$F15&lt;&gt;"",$E15&lt;=3,$F15&gt;=3),1,"")</f>
        <v/>
      </c>
      <c r="J15" s="28">
        <f>IF(AND($E15&lt;&gt;"",$F15&lt;&gt;"",$E15&lt;=4,$F15&gt;=4),1,"")</f>
        <v/>
      </c>
      <c r="K15" s="28">
        <f>IF(AND($E15&lt;&gt;"",$F15&lt;&gt;"",$E15&lt;=5,$F15&gt;=5),1,"")</f>
        <v/>
      </c>
      <c r="L15" s="28">
        <f>IF(AND($E15&lt;&gt;"",$F15&lt;&gt;"",$E15&lt;=6,$F15&gt;=6),1,"")</f>
        <v/>
      </c>
      <c r="M15" s="28">
        <f>IF(AND($E15&lt;&gt;"",$F15&lt;&gt;"",$E15&lt;=7,$F15&gt;=7),1,"")</f>
        <v/>
      </c>
      <c r="N15" s="28">
        <f>IF(AND($E15&lt;&gt;"",$F15&lt;&gt;"",$E15&lt;=8,$F15&gt;=8),1,"")</f>
        <v/>
      </c>
      <c r="O15" s="28">
        <f>IF(AND($E15&lt;&gt;"",$F15&lt;&gt;"",$E15&lt;=9,$F15&gt;=9),1,"")</f>
        <v/>
      </c>
      <c r="P15" s="28">
        <f>IF(AND($E15&lt;&gt;"",$F15&lt;&gt;"",$E15&lt;=10,$F15&gt;=10),1,"")</f>
        <v/>
      </c>
      <c r="Q15" s="28">
        <f>IF(AND($E15&lt;&gt;"",$F15&lt;&gt;"",$E15&lt;=11,$F15&gt;=11),1,"")</f>
        <v/>
      </c>
      <c r="R15" s="28">
        <f>IF(AND($E15&lt;&gt;"",$F15&lt;&gt;"",$E15&lt;=12,$F15&gt;=12),1,"")</f>
        <v/>
      </c>
    </row>
    <row r="16" ht="22" customHeight="1">
      <c r="A16" s="29" t="inlineStr">
        <is>
          <t>Fasi attive nella settimana</t>
        </is>
      </c>
      <c r="B16" s="30" t="n"/>
      <c r="C16" s="30" t="n"/>
      <c r="D16" s="30" t="n"/>
      <c r="E16" s="30" t="n"/>
      <c r="F16" s="30" t="n"/>
      <c r="G16" s="14">
        <f>COUNT(G5:G15)</f>
        <v/>
      </c>
      <c r="H16" s="14">
        <f>COUNT(H5:H15)</f>
        <v/>
      </c>
      <c r="I16" s="14">
        <f>COUNT(I5:I15)</f>
        <v/>
      </c>
      <c r="J16" s="14">
        <f>COUNT(J5:J15)</f>
        <v/>
      </c>
      <c r="K16" s="14">
        <f>COUNT(K5:K15)</f>
        <v/>
      </c>
      <c r="L16" s="14">
        <f>COUNT(L5:L15)</f>
        <v/>
      </c>
      <c r="M16" s="14">
        <f>COUNT(M5:M15)</f>
        <v/>
      </c>
      <c r="N16" s="14">
        <f>COUNT(N5:N15)</f>
        <v/>
      </c>
      <c r="O16" s="14">
        <f>COUNT(O5:O15)</f>
        <v/>
      </c>
      <c r="P16" s="14">
        <f>COUNT(P5:P15)</f>
        <v/>
      </c>
      <c r="Q16" s="14">
        <f>COUNT(Q5:Q15)</f>
        <v/>
      </c>
      <c r="R16" s="14">
        <f>COUNT(R5:R15)</f>
        <v/>
      </c>
    </row>
    <row r="18">
      <c r="A18" s="31" t="inlineStr">
        <is>
          <t>Sessioni erogate al cliente (n. incontri)</t>
        </is>
      </c>
      <c r="F18" s="32">
        <f>WBS!Q14</f>
        <v/>
      </c>
    </row>
    <row r="19">
      <c r="A19" s="31" t="inlineStr">
        <is>
          <t>di cui in presenza — trasferte incluse nell'investimento</t>
        </is>
      </c>
      <c r="F19" s="32">
        <f>SUMPRODUCT((WBS!$E$3:$E$13="In presenza")*WBS!$Q$3:$Q$13)</f>
        <v/>
      </c>
    </row>
    <row r="20">
      <c r="A20" s="31" t="inlineStr">
        <is>
          <t>Settimana di massima concentrazione (n. fasi in parallelo)</t>
        </is>
      </c>
      <c r="F20" s="32">
        <f>MAX(G16:R16)</f>
        <v/>
      </c>
    </row>
    <row r="21">
      <c r="A21" s="31" t="inlineStr">
        <is>
          <t>Settimana ISO di chiusura del piano</t>
        </is>
      </c>
      <c r="F21" s="32">
        <f>$F$2+MAX(WBS!I3:I13)-1</f>
        <v/>
      </c>
    </row>
    <row r="22">
      <c r="A22" s="31" t="inlineStr">
        <is>
          <t>Periodo di calendario coperto</t>
        </is>
      </c>
      <c r="D22" s="33">
        <f>CHOOSE(MONTH(DATE(Parametri!$C$15,1,4)-WEEKDAY(DATE(Parametri!$C$15,1,4),3)+7*(G$3-1)),"Gennaio","Febbraio","Marzo","Aprile","Maggio","Giugno","Luglio","Agosto","Settembre","Ottobre","Novembre","Dicembre")&amp;" "&amp;YEAR(DATE(Parametri!$C$15,1,4)-WEEKDAY(DATE(Parametri!$C$15,1,4),3)+7*(G$3-1))&amp;"   →   "&amp;CHOOSE(MONTH(DATE(Parametri!$C$15,1,4)-WEEKDAY(DATE(Parametri!$C$15,1,4),3)+7*(R$3-1)),"Gennaio","Febbraio","Marzo","Aprile","Maggio","Giugno","Luglio","Agosto","Settembre","Ottobre","Novembre","Dicembre")&amp;" "&amp;YEAR(DATE(Parametri!$C$15,1,4)-WEEKDAY(DATE(Parametri!$C$15,1,4),3)+7*(R$3-1))</f>
        <v/>
      </c>
    </row>
  </sheetData>
  <mergeCells count="10">
    <mergeCell ref="A21:E21"/>
    <mergeCell ref="A16:F16"/>
    <mergeCell ref="A20:E20"/>
    <mergeCell ref="A2:E2"/>
    <mergeCell ref="D22:F22"/>
    <mergeCell ref="A19:E19"/>
    <mergeCell ref="A22:C22"/>
    <mergeCell ref="A1:R1"/>
    <mergeCell ref="A4:F4"/>
    <mergeCell ref="A18:E18"/>
  </mergeCells>
  <conditionalFormatting sqref="G4:R4">
    <cfRule type="expression" priority="1" dxfId="0" stopIfTrue="1">
      <formula>G4&lt;&gt;""</formula>
    </cfRule>
  </conditionalFormatting>
  <conditionalFormatting sqref="G5:R15">
    <cfRule type="expression" priority="2" dxfId="1" stopIfTrue="1">
      <formula>AND(ISNUMBER(SEARCH("Workshop",$D5)),G5=1)</formula>
    </cfRule>
    <cfRule type="expression" priority="3" dxfId="2" stopIfTrue="1">
      <formula>AND($C5="Interna",G5=1)</formula>
    </cfRule>
    <cfRule type="expression" priority="4" dxfId="3" stopIfTrue="1">
      <formula>G5=1</formula>
    </cfRule>
  </conditionalFormatting>
  <conditionalFormatting sqref="B5:F15">
    <cfRule type="expression" priority="5" dxfId="4">
      <formula>ISNUMBER(SEARCH("Workshop",$D5))</formula>
    </cfRule>
  </conditionalFormatting>
  <conditionalFormatting sqref="G16:R16">
    <cfRule type="expression" priority="6" dxfId="0" stopIfTrue="1">
      <formula>G16&gt;1</formula>
    </cfRule>
  </conditionalFormatting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2" customWidth="1" min="2" max="2"/>
    <col width="18" customWidth="1" min="3" max="3"/>
    <col width="15" customWidth="1" min="4" max="4"/>
    <col width="64" customWidth="1" min="5" max="5"/>
  </cols>
  <sheetData>
    <row r="1" ht="26" customHeight="1">
      <c r="A1" s="1" t="inlineStr">
        <is>
          <t>›  RIEPILOGO DI PROGETTO</t>
        </is>
      </c>
      <c r="B1" s="2" t="n"/>
      <c r="C1" s="2" t="n"/>
      <c r="D1" s="2" t="n"/>
      <c r="E1" s="2" t="n"/>
    </row>
    <row r="2" ht="18" customHeight="1">
      <c r="A2" s="34" t="inlineStr">
        <is>
          <t>Tutti i valori sono calcolati dalla WBS e dai Parametri. Nessuna cella di questo foglio va compilata a mano.</t>
        </is>
      </c>
    </row>
    <row r="4" ht="20" customHeight="1">
      <c r="A4" s="35" t="inlineStr">
        <is>
          <t>›  IMPEGNO COMPLESSIVO</t>
        </is>
      </c>
      <c r="B4" s="36" t="n"/>
      <c r="C4" s="36" t="n"/>
      <c r="D4" s="36" t="n"/>
      <c r="E4" s="36" t="n"/>
    </row>
    <row r="5">
      <c r="A5" s="6" t="inlineStr">
        <is>
          <t>Giornate front office (tempo erogato al cliente)</t>
        </is>
      </c>
      <c r="C5" s="11">
        <f>WBS!T14</f>
        <v/>
      </c>
      <c r="D5" s="37" t="inlineStr">
        <is>
          <t>gg-uomo</t>
        </is>
      </c>
      <c r="E5" s="38" t="inlineStr">
        <is>
          <t>Calcolate da n. incontri × durata × n. persone. Incontri in remoto inclusi.</t>
        </is>
      </c>
    </row>
    <row r="6">
      <c r="A6" s="6" t="inlineStr">
        <is>
          <t>Giornate back office</t>
        </is>
      </c>
      <c r="C6" s="11">
        <f>WBS!U14</f>
        <v/>
      </c>
      <c r="D6" s="37" t="inlineStr">
        <is>
          <t>gg-uomo</t>
        </is>
      </c>
      <c r="E6" s="38" t="inlineStr">
        <is>
          <t>STIME Impresoft: il contratto non quantifica il back office.</t>
        </is>
      </c>
    </row>
    <row r="7">
      <c r="A7" s="6" t="inlineStr">
        <is>
          <t>Giornate di viaggio</t>
        </is>
      </c>
      <c r="C7" s="11">
        <f>WBS!V14</f>
        <v/>
      </c>
      <c r="D7" s="37" t="inlineStr">
        <is>
          <t>gg-uomo</t>
        </is>
      </c>
      <c r="E7" s="38" t="inlineStr">
        <is>
          <t>Solo fasi in presenza. Incluse nel monte ore.</t>
        </is>
      </c>
    </row>
    <row r="8">
      <c r="A8" s="7" t="inlineStr">
        <is>
          <t>TOTALE giornate-uomo di progetto</t>
        </is>
      </c>
      <c r="C8" s="39">
        <f>WBS!X14</f>
        <v/>
      </c>
      <c r="D8" s="37" t="inlineStr">
        <is>
          <t>gg-uomo</t>
        </is>
      </c>
      <c r="E8" s="38" t="inlineStr"/>
    </row>
    <row r="9">
      <c r="A9" s="7" t="inlineStr">
        <is>
          <t>TOTALE ore di progetto</t>
        </is>
      </c>
      <c r="C9" s="39">
        <f>WBS!Y14</f>
        <v/>
      </c>
      <c r="D9" s="37" t="inlineStr">
        <is>
          <t>h</t>
        </is>
      </c>
      <c r="E9" s="38" t="inlineStr">
        <is>
          <t>Totale giornate × ore per giornata (Parametri!$C$6).</t>
        </is>
      </c>
    </row>
    <row r="11" ht="20" customHeight="1">
      <c r="A11" s="35" t="inlineStr">
        <is>
          <t>›  COSTO DELLE GIORNATE</t>
        </is>
      </c>
      <c r="B11" s="36" t="n"/>
      <c r="C11" s="36" t="n"/>
      <c r="D11" s="36" t="n"/>
      <c r="E11" s="36" t="n"/>
    </row>
    <row r="12">
      <c r="A12" s="6" t="inlineStr">
        <is>
          <t>Costo ore front office</t>
        </is>
      </c>
      <c r="C12" s="12">
        <f>WBS!T14*Parametri!$C$6*Parametri!$C$7</f>
        <v/>
      </c>
      <c r="D12" s="37" t="inlineStr">
        <is>
          <t>€</t>
        </is>
      </c>
      <c r="E12" s="38" t="inlineStr"/>
    </row>
    <row r="13">
      <c r="A13" s="6" t="inlineStr">
        <is>
          <t>Costo ore back office</t>
        </is>
      </c>
      <c r="C13" s="12">
        <f>WBS!U14*Parametri!$C$6*Parametri!$C$8</f>
        <v/>
      </c>
      <c r="D13" s="37" t="inlineStr">
        <is>
          <t>€</t>
        </is>
      </c>
      <c r="E13" s="38" t="inlineStr"/>
    </row>
    <row r="14">
      <c r="A14" s="6" t="inlineStr">
        <is>
          <t>Costo ore di viaggio</t>
        </is>
      </c>
      <c r="C14" s="12">
        <f>WBS!V14*Parametri!$C$6*Parametri!$C$9</f>
        <v/>
      </c>
      <c r="D14" s="37" t="inlineStr">
        <is>
          <t>€</t>
        </is>
      </c>
      <c r="E14" s="38" t="inlineStr"/>
    </row>
    <row r="15">
      <c r="A15" s="7" t="inlineStr">
        <is>
          <t>COSTO TOTALE DELLE GIORNATE</t>
        </is>
      </c>
      <c r="C15" s="40">
        <f>WBS!Z14</f>
        <v/>
      </c>
      <c r="D15" s="37" t="inlineStr">
        <is>
          <t>€</t>
        </is>
      </c>
      <c r="E15" s="38" t="inlineStr"/>
    </row>
    <row r="16">
      <c r="A16" s="6" t="inlineStr">
        <is>
          <t>Quadratura (deve coincidere con la riga sopra)</t>
        </is>
      </c>
      <c r="C16" s="12">
        <f>SUM(C12:C14)</f>
        <v/>
      </c>
      <c r="D16" s="37" t="inlineStr">
        <is>
          <t>€</t>
        </is>
      </c>
      <c r="E16" s="38" t="inlineStr">
        <is>
          <t>Controllo interno: se differisce c'è un errore di formula.</t>
        </is>
      </c>
    </row>
    <row r="18" ht="20" customHeight="1">
      <c r="A18" s="35" t="inlineStr">
        <is>
          <t>›  COSTO DELLE TRASFERTE — già incluso nell'investimento (Offerta § 10.1)</t>
        </is>
      </c>
      <c r="B18" s="36" t="n"/>
      <c r="C18" s="36" t="n"/>
      <c r="D18" s="36" t="n"/>
      <c r="E18" s="36" t="n"/>
    </row>
    <row r="19">
      <c r="A19" s="6" t="inlineStr">
        <is>
          <t>Sessioni in presenza</t>
        </is>
      </c>
      <c r="C19" s="9">
        <f>SUMPRODUCT((WBS!$E$3:$E$13="In presenza")*WBS!$Q$3:$Q$13)</f>
        <v/>
      </c>
      <c r="D19" s="37" t="inlineStr">
        <is>
          <t>n.</t>
        </is>
      </c>
      <c r="E19" s="38" t="inlineStr">
        <is>
          <t>Dalla WBS. L'Offerta § 10.1 include le trasferte per 6 incontri in presenza.</t>
        </is>
      </c>
    </row>
    <row r="20">
      <c r="A20" s="6" t="inlineStr">
        <is>
          <t>Persone-sessione in trasferta</t>
        </is>
      </c>
      <c r="C20" s="9">
        <f>SUMPRODUCT((WBS!$E$3:$E$13="In presenza")*WBS!$Q$3:$Q$13*WBS!$S$3:$S$13)</f>
        <v/>
      </c>
      <c r="D20" s="37" t="inlineStr">
        <is>
          <t>n.</t>
        </is>
      </c>
      <c r="E20" s="38" t="inlineStr">
        <is>
          <t>Somma delle presenze fisiche: determina il vitto.</t>
        </is>
      </c>
    </row>
    <row r="21">
      <c r="A21" s="6" t="inlineStr">
        <is>
          <t>Viaggi in auto</t>
        </is>
      </c>
      <c r="C21" s="9">
        <f>IF(Parametri!$C$22=0,0,ROUNDUP(C20/Parametri!$C$22,0))</f>
        <v/>
      </c>
      <c r="D21" s="37" t="inlineStr">
        <is>
          <t>n.</t>
        </is>
      </c>
      <c r="E21" s="38" t="inlineStr">
        <is>
          <t>Persone-sessione ÷ persone per auto. Determina km e pedaggi.</t>
        </is>
      </c>
    </row>
    <row r="22">
      <c r="A22" s="6" t="inlineStr">
        <is>
          <t>Ammortamento ACI</t>
        </is>
      </c>
      <c r="C22" s="12">
        <f>C21*Parametri!$C$18*Parametri!$C$19</f>
        <v/>
      </c>
      <c r="D22" s="37" t="inlineStr">
        <is>
          <t>€</t>
        </is>
      </c>
      <c r="E22" s="38" t="inlineStr">
        <is>
          <t>Viaggi × km a/r (Parametri!$C$18) × tariffa €/km (Parametri!$C$19).</t>
        </is>
      </c>
    </row>
    <row r="23">
      <c r="A23" s="6" t="inlineStr">
        <is>
          <t>Pedaggi — casello</t>
        </is>
      </c>
      <c r="C23" s="12">
        <f>C21*Parametri!$C$20</f>
        <v/>
      </c>
      <c r="D23" s="37" t="inlineStr">
        <is>
          <t>€</t>
        </is>
      </c>
      <c r="E23" s="38" t="inlineStr"/>
    </row>
    <row r="24">
      <c r="A24" s="6" t="inlineStr">
        <is>
          <t>Vitto</t>
        </is>
      </c>
      <c r="C24" s="12">
        <f>C20*Parametri!$C$21</f>
        <v/>
      </c>
      <c r="D24" s="37" t="inlineStr">
        <is>
          <t>€</t>
        </is>
      </c>
      <c r="E24" s="38" t="inlineStr">
        <is>
          <t>Persone-sessione × costo per persona.</t>
        </is>
      </c>
    </row>
    <row r="25">
      <c r="A25" s="7" t="inlineStr">
        <is>
          <t>TOTALE COSTO TRASFERTE</t>
        </is>
      </c>
      <c r="C25" s="40">
        <f>SUM(C22:C24)</f>
        <v/>
      </c>
      <c r="D25" s="37" t="inlineStr">
        <is>
          <t>€</t>
        </is>
      </c>
      <c r="E25" s="38" t="inlineStr"/>
    </row>
    <row r="27" ht="20" customHeight="1">
      <c r="A27" s="35" t="inlineStr">
        <is>
          <t>›  COSTO PIENO E MARGINE</t>
        </is>
      </c>
      <c r="B27" s="36" t="n"/>
      <c r="C27" s="36" t="n"/>
      <c r="D27" s="36" t="n"/>
      <c r="E27" s="36" t="n"/>
    </row>
    <row r="28">
      <c r="A28" s="6" t="inlineStr">
        <is>
          <t>Costo delle giornate</t>
        </is>
      </c>
      <c r="C28" s="12">
        <f>C15</f>
        <v/>
      </c>
      <c r="D28" s="37" t="inlineStr">
        <is>
          <t>€</t>
        </is>
      </c>
      <c r="E28" s="38" t="inlineStr"/>
    </row>
    <row r="29">
      <c r="A29" s="6" t="inlineStr">
        <is>
          <t>Costo delle trasferte</t>
        </is>
      </c>
      <c r="C29" s="12">
        <f>C25</f>
        <v/>
      </c>
      <c r="D29" s="37" t="inlineStr">
        <is>
          <t>€</t>
        </is>
      </c>
      <c r="E29" s="38" t="inlineStr"/>
    </row>
    <row r="30">
      <c r="A30" s="7" t="inlineStr">
        <is>
          <t>COSTO PIENO DI PROGETTO</t>
        </is>
      </c>
      <c r="C30" s="40">
        <f>C28+C29</f>
        <v/>
      </c>
      <c r="D30" s="37" t="inlineStr">
        <is>
          <t>€</t>
        </is>
      </c>
      <c r="E30" s="38" t="inlineStr">
        <is>
          <t>Giornate + trasferte. È il costo da confrontare con l'investimento.</t>
        </is>
      </c>
    </row>
    <row r="31">
      <c r="A31" s="6" t="inlineStr">
        <is>
          <t>Investimento contrattuale (una tantum)</t>
        </is>
      </c>
      <c r="C31" s="12">
        <f>Parametri!$C$14</f>
        <v/>
      </c>
      <c r="D31" s="37" t="inlineStr">
        <is>
          <t>€</t>
        </is>
      </c>
      <c r="E31" s="38" t="inlineStr">
        <is>
          <t>Offerta § 10. Le trasferte dei 6 incontri in presenza sono già dentro questa cifra.</t>
        </is>
      </c>
    </row>
    <row r="32">
      <c r="A32" s="7" t="inlineStr">
        <is>
          <t>MARGINE DI PROGETTO</t>
        </is>
      </c>
      <c r="C32" s="40">
        <f>C31-C30</f>
        <v/>
      </c>
      <c r="D32" s="37" t="inlineStr">
        <is>
          <t>€</t>
        </is>
      </c>
      <c r="E32" s="38" t="inlineStr"/>
    </row>
    <row r="33">
      <c r="A33" s="6" t="inlineStr">
        <is>
          <t>Margine percentuale</t>
        </is>
      </c>
      <c r="C33" s="41">
        <f>IF(C31=0,"",C32/C31)</f>
        <v/>
      </c>
      <c r="D33" s="37" t="inlineStr">
        <is>
          <t>%</t>
        </is>
      </c>
      <c r="E33" s="38" t="inlineStr">
        <is>
          <t>Se negativo la cella si inverte in nero.</t>
        </is>
      </c>
    </row>
    <row r="34">
      <c r="A34" s="7" t="inlineStr">
        <is>
          <t>Tariffa media implicita sulle ore erogate</t>
        </is>
      </c>
      <c r="C34" s="40">
        <f>IF(C9=0,"",C31/C9)</f>
        <v/>
      </c>
      <c r="D34" s="37" t="inlineStr">
        <is>
          <t>€/h</t>
        </is>
      </c>
      <c r="E34" s="38" t="inlineStr">
        <is>
          <t>Investimento ÷ totale ore. Da confrontare con le tre tariffe orarie impostate nei Parametri.</t>
        </is>
      </c>
    </row>
    <row r="36" ht="20" customHeight="1">
      <c r="A36" s="35" t="inlineStr">
        <is>
          <t>›  RIPARTIZIONE PER TIPO DI FASE</t>
        </is>
      </c>
      <c r="B36" s="36" t="n"/>
      <c r="C36" s="36" t="n"/>
      <c r="D36" s="36" t="n"/>
      <c r="E36" s="36" t="n"/>
    </row>
    <row r="37">
      <c r="A37" s="6" t="inlineStr">
        <is>
          <t>Giornate — fasi con il cliente</t>
        </is>
      </c>
      <c r="C37" s="11">
        <f>SUMIF(WBS!$D$3:$D$13,"Cliente",WBS!$X$3:$X$13)</f>
        <v/>
      </c>
      <c r="D37" s="37" t="inlineStr">
        <is>
          <t>gg-uomo</t>
        </is>
      </c>
      <c r="E37" s="38" t="inlineStr"/>
    </row>
    <row r="38">
      <c r="A38" s="6" t="inlineStr">
        <is>
          <t>Giornate — fasi interne</t>
        </is>
      </c>
      <c r="C38" s="11">
        <f>SUMIF(WBS!$D$3:$D$13,"Interna",WBS!$X$3:$X$13)</f>
        <v/>
      </c>
      <c r="D38" s="37" t="inlineStr">
        <is>
          <t>gg-uomo</t>
        </is>
      </c>
      <c r="E38" s="38" t="inlineStr"/>
    </row>
    <row r="39">
      <c r="A39" s="6" t="inlineStr">
        <is>
          <t>Costo — fasi con il cliente</t>
        </is>
      </c>
      <c r="C39" s="12">
        <f>SUMIF(WBS!$D$3:$D$13,"Cliente",WBS!$Z$3:$Z$13)</f>
        <v/>
      </c>
      <c r="D39" s="37" t="inlineStr">
        <is>
          <t>€</t>
        </is>
      </c>
      <c r="E39" s="38" t="inlineStr"/>
    </row>
    <row r="40">
      <c r="A40" s="6" t="inlineStr">
        <is>
          <t>Costo — fasi interne</t>
        </is>
      </c>
      <c r="C40" s="12">
        <f>SUMIF(WBS!$D$3:$D$13,"Interna",WBS!$Z$3:$Z$13)</f>
        <v/>
      </c>
      <c r="D40" s="37" t="inlineStr">
        <is>
          <t>€</t>
        </is>
      </c>
      <c r="E40" s="38" t="inlineStr"/>
    </row>
    <row r="41">
      <c r="A41" s="6" t="inlineStr">
        <is>
          <t>Fasi con il cliente / fasi interne</t>
        </is>
      </c>
      <c r="C41" s="42">
        <f>COUNTIF(WBS!$D$3:$D$13,"Cliente")&amp;" / "&amp;COUNTIF(WBS!$D$3:$D$13,"Interna")</f>
        <v/>
      </c>
      <c r="D41" s="37" t="inlineStr"/>
      <c r="E41" s="38" t="inlineStr"/>
    </row>
    <row r="43" ht="20" customHeight="1">
      <c r="A43" s="35" t="inlineStr">
        <is>
          <t>›  LEAD TIME</t>
        </is>
      </c>
      <c r="B43" s="36" t="n"/>
      <c r="C43" s="36" t="n"/>
      <c r="D43" s="36" t="n"/>
      <c r="E43" s="36" t="n"/>
    </row>
    <row r="44">
      <c r="A44" s="6" t="inlineStr">
        <is>
          <t>Somma delle durate delle fasi, se svolte in sequenza</t>
        </is>
      </c>
      <c r="C44" s="9">
        <f>SUM(WBS!H3:H13)</f>
        <v/>
      </c>
      <c r="D44" s="37" t="inlineStr">
        <is>
          <t>settimane</t>
        </is>
      </c>
      <c r="E44" s="38" t="inlineStr"/>
    </row>
    <row r="45">
      <c r="A45" s="7" t="inlineStr">
        <is>
          <t>Lead time di calendario effettivo</t>
        </is>
      </c>
      <c r="C45" s="43">
        <f>MAX(WBS!I3:I13)-MIN(WBS!G3:G13)+1</f>
        <v/>
      </c>
      <c r="D45" s="37" t="inlineStr">
        <is>
          <t>settimane</t>
        </is>
      </c>
      <c r="E45" s="38" t="inlineStr">
        <is>
          <t>Prima settimana di inizio → ultima settimana di fine, fasi sovrapposte incluse.</t>
        </is>
      </c>
    </row>
    <row r="46">
      <c r="A46" s="6" t="inlineStr">
        <is>
          <t>Settimane recuperate dalla parallelizzazione</t>
        </is>
      </c>
      <c r="C46" s="9">
        <f>C44-C45</f>
        <v/>
      </c>
      <c r="D46" s="37" t="inlineStr">
        <is>
          <t>settimane</t>
        </is>
      </c>
      <c r="E46" s="38" t="inlineStr"/>
    </row>
    <row r="47">
      <c r="A47" s="6" t="inlineStr">
        <is>
          <t>Lead time target dichiarato</t>
        </is>
      </c>
      <c r="C47" s="9">
        <f>Parametri!$C$13</f>
        <v/>
      </c>
      <c r="D47" s="37" t="inlineStr">
        <is>
          <t>settimane</t>
        </is>
      </c>
      <c r="E47" s="38" t="inlineStr">
        <is>
          <t>Offerta § 8.</t>
        </is>
      </c>
    </row>
    <row r="48">
      <c r="A48" s="7" t="inlineStr">
        <is>
          <t>SCOSTAMENTO effettivo vs target</t>
        </is>
      </c>
      <c r="C48" s="43">
        <f>C45-C47</f>
        <v/>
      </c>
      <c r="D48" s="37" t="inlineStr">
        <is>
          <t>settimane</t>
        </is>
      </c>
      <c r="E48" s="38" t="inlineStr">
        <is>
          <t>Se diverso da zero la cella si inverte in nero.</t>
        </is>
      </c>
    </row>
    <row r="49" ht="18" customHeight="1">
      <c r="A49" s="44" t="inlineStr">
        <is>
          <t>Esito del controllo</t>
        </is>
      </c>
      <c r="C49" s="45">
        <f>IF(C45=C47,"Il piano quadra con il lead time target.","Scostamento sul target: la coda di redazione in lingua inglese cade oltre le 10 settimane.")</f>
        <v/>
      </c>
    </row>
  </sheetData>
  <mergeCells count="9">
    <mergeCell ref="A4:E4"/>
    <mergeCell ref="A43:E43"/>
    <mergeCell ref="A2:E2"/>
    <mergeCell ref="A11:E11"/>
    <mergeCell ref="C49:E49"/>
    <mergeCell ref="A1:E1"/>
    <mergeCell ref="A36:E36"/>
    <mergeCell ref="A18:E18"/>
    <mergeCell ref="A27:E27"/>
  </mergeCells>
  <conditionalFormatting sqref="C32">
    <cfRule type="expression" priority="1" dxfId="5" stopIfTrue="1">
      <formula>C32&lt;0</formula>
    </cfRule>
  </conditionalFormatting>
  <conditionalFormatting sqref="C33">
    <cfRule type="expression" priority="2" dxfId="5" stopIfTrue="1">
      <formula>C33&lt;0</formula>
    </cfRule>
  </conditionalFormatting>
  <conditionalFormatting sqref="C48">
    <cfRule type="expression" priority="3" dxfId="5" stopIfTrue="1">
      <formula>C48&lt;&gt;0</formula>
    </cfRule>
  </conditionalFormatting>
  <conditionalFormatting sqref="C49:E49">
    <cfRule type="expression" priority="4" dxfId="5" stopIfTrue="1">
      <formula>$C$45&lt;&gt;$C$47</formula>
    </cfRule>
  </conditionalFormatting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" customWidth="1" min="2" max="2"/>
    <col width="14" customWidth="1" min="3" max="3"/>
    <col width="13" customWidth="1" min="4" max="4"/>
    <col width="62" customWidth="1" min="5" max="5"/>
  </cols>
  <sheetData>
    <row r="1" ht="26" customHeight="1">
      <c r="A1" s="1" t="inlineStr">
        <is>
          <t>›  PARAMETRI DI CALCOLO</t>
        </is>
      </c>
      <c r="B1" s="2" t="n"/>
      <c r="C1" s="2" t="n"/>
      <c r="D1" s="2" t="n"/>
      <c r="E1" s="2" t="n"/>
    </row>
    <row r="2" ht="24" customHeight="1">
      <c r="A2" s="34" t="inlineStr">
        <is>
          <t>Le celle con riquadro nero, sotto l'intestazione gialla, sono da compilare. Tutto il file si ricalcola da qui: giornate front office e viaggio, ore, costi e costo delle trasferte.</t>
        </is>
      </c>
    </row>
    <row r="4">
      <c r="A4" s="3" t="inlineStr">
        <is>
          <t>Parametro</t>
        </is>
      </c>
      <c r="B4" s="46" t="n"/>
      <c r="C4" s="4" t="inlineStr">
        <is>
          <t>Valore</t>
        </is>
      </c>
      <c r="D4" s="3" t="inlineStr">
        <is>
          <t>Unità</t>
        </is>
      </c>
      <c r="E4" s="3" t="inlineStr">
        <is>
          <t>Note</t>
        </is>
      </c>
    </row>
    <row r="5" ht="20" customHeight="1">
      <c r="A5" s="35" t="inlineStr">
        <is>
          <t>›  IMPEGNO E TARIFFE</t>
        </is>
      </c>
      <c r="B5" s="36" t="n"/>
      <c r="C5" s="36" t="n"/>
      <c r="D5" s="36" t="n"/>
      <c r="E5" s="36" t="n"/>
    </row>
    <row r="6" ht="26" customHeight="1">
      <c r="A6" s="7" t="inlineStr">
        <is>
          <t>Ore per giornata</t>
        </is>
      </c>
      <c r="B6" s="47" t="n"/>
      <c r="C6" s="8" t="n">
        <v>8</v>
      </c>
      <c r="D6" s="37" t="inlineStr">
        <is>
          <t>h</t>
        </is>
      </c>
      <c r="E6" s="6" t="inlineStr">
        <is>
          <t>Base di conversione giornate → ore.</t>
        </is>
      </c>
    </row>
    <row r="7" ht="26" customHeight="1">
      <c r="A7" s="7" t="inlineStr">
        <is>
          <t>Tariffa oraria — Front office</t>
        </is>
      </c>
      <c r="B7" s="47" t="n"/>
      <c r="C7" s="48" t="n">
        <v>95</v>
      </c>
      <c r="D7" s="37" t="inlineStr">
        <is>
          <t>€/h</t>
        </is>
      </c>
      <c r="E7" s="6" t="inlineStr">
        <is>
          <t>Ore erogate al cliente, incontri in remoto inclusi.</t>
        </is>
      </c>
    </row>
    <row r="8" ht="26" customHeight="1">
      <c r="A8" s="7" t="inlineStr">
        <is>
          <t>Tariffa oraria — Back office</t>
        </is>
      </c>
      <c r="B8" s="47" t="n"/>
      <c r="C8" s="48" t="n">
        <v>85</v>
      </c>
      <c r="D8" s="37" t="inlineStr">
        <is>
          <t>€/h</t>
        </is>
      </c>
      <c r="E8" s="6" t="inlineStr">
        <is>
          <t>Lavoro interno: analisi, delivery, reportistica.</t>
        </is>
      </c>
    </row>
    <row r="9" ht="26" customHeight="1">
      <c r="A9" s="7" t="inlineStr">
        <is>
          <t>Tariffa oraria — Viaggio</t>
        </is>
      </c>
      <c r="B9" s="47" t="n"/>
      <c r="C9" s="48" t="n">
        <v>75</v>
      </c>
      <c r="D9" s="37" t="inlineStr">
        <is>
          <t>€/h</t>
        </is>
      </c>
      <c r="E9" s="6" t="inlineStr">
        <is>
          <t>Tempo di trasferimento. Incluso nel monte ore di progetto.</t>
        </is>
      </c>
    </row>
    <row r="10" ht="26" customHeight="1">
      <c r="A10" s="7" t="inlineStr">
        <is>
          <t>Ore di viaggio per trasferta (a/r, per persona)</t>
        </is>
      </c>
      <c r="B10" s="47" t="n"/>
      <c r="C10" s="10" t="n">
        <v>1.5</v>
      </c>
      <c r="D10" s="37" t="inlineStr">
        <is>
          <t>h</t>
        </is>
      </c>
      <c r="E10" s="6" t="inlineStr">
        <is>
          <t>Vicenza ↔ Barbarano Mossano, ~25 km per tratta.</t>
        </is>
      </c>
    </row>
    <row r="12" ht="20" customHeight="1">
      <c r="A12" s="35" t="inlineStr">
        <is>
          <t>›  PROGETTO</t>
        </is>
      </c>
      <c r="B12" s="36" t="n"/>
      <c r="C12" s="36" t="n"/>
      <c r="D12" s="36" t="n"/>
      <c r="E12" s="36" t="n"/>
    </row>
    <row r="13" ht="26" customHeight="1">
      <c r="A13" s="7" t="inlineStr">
        <is>
          <t>Lead time target di progetto</t>
        </is>
      </c>
      <c r="B13" s="47" t="n"/>
      <c r="C13" s="8" t="n">
        <v>10</v>
      </c>
      <c r="D13" s="37" t="inlineStr">
        <is>
          <t>settimane</t>
        </is>
      </c>
      <c r="E13" s="6" t="inlineStr">
        <is>
          <t>Offerta § 8. Il § 6 dichiara invece 8-10 settimane: incoerenza interna al contratto.</t>
        </is>
      </c>
    </row>
    <row r="14" ht="26" customHeight="1">
      <c r="A14" s="7" t="inlineStr">
        <is>
          <t>Investimento contrattuale (una tantum)</t>
        </is>
      </c>
      <c r="B14" s="47" t="n"/>
      <c r="C14" s="48" t="n">
        <v>27000</v>
      </c>
      <c r="D14" s="37" t="inlineStr">
        <is>
          <t>€</t>
        </is>
      </c>
      <c r="E14" s="6" t="inlineStr">
        <is>
          <t>Offerta § 10. Comprende già i costi di trasferta dei 6 incontri in presenza (§ 10.1).</t>
        </is>
      </c>
    </row>
    <row r="15" ht="26" customHeight="1">
      <c r="A15" s="7" t="inlineStr">
        <is>
          <t>Anno di riferimento</t>
        </is>
      </c>
      <c r="B15" s="47" t="n"/>
      <c r="C15" s="8" t="n">
        <v>2026</v>
      </c>
      <c r="D15" s="37" t="inlineStr">
        <is>
          <t>anno</t>
        </is>
      </c>
      <c r="E15" s="6" t="inlineStr">
        <is>
          <t>Serve al foglio Timeline per ricavare i mesi dalla settimana ISO di partenza.</t>
        </is>
      </c>
    </row>
    <row r="17" ht="20" customHeight="1">
      <c r="A17" s="35" t="inlineStr">
        <is>
          <t>›  COSTO DELLE TRASFERTE (già incluso nell'investimento)</t>
        </is>
      </c>
      <c r="B17" s="36" t="n"/>
      <c r="C17" s="36" t="n"/>
      <c r="D17" s="36" t="n"/>
      <c r="E17" s="36" t="n"/>
    </row>
    <row r="18" ht="26" customHeight="1">
      <c r="A18" s="7" t="inlineStr">
        <is>
          <t>Km andata e ritorno per trasferta</t>
        </is>
      </c>
      <c r="B18" s="47" t="n"/>
      <c r="C18" s="8" t="n">
        <v>50</v>
      </c>
      <c r="D18" s="37" t="inlineStr">
        <is>
          <t>km</t>
        </is>
      </c>
      <c r="E18" s="6" t="inlineStr">
        <is>
          <t>STIMA sulle sedi indicate al § 10.1 (Barbarano Mossano ↔ Vicenza).</t>
        </is>
      </c>
    </row>
    <row r="19" ht="26" customHeight="1">
      <c r="A19" s="7" t="inlineStr">
        <is>
          <t>Ammortamento ACI</t>
        </is>
      </c>
      <c r="B19" s="47" t="n"/>
      <c r="C19" s="48" t="n">
        <v>0.65</v>
      </c>
      <c r="D19" s="37" t="inlineStr">
        <is>
          <t>€/km</t>
        </is>
      </c>
      <c r="E19" s="6" t="inlineStr">
        <is>
          <t>Tariffa indicata al § 10.1 dell'Offerta per le trasferte fuori perimetro.</t>
        </is>
      </c>
    </row>
    <row r="20" ht="26" customHeight="1">
      <c r="A20" s="7" t="inlineStr">
        <is>
          <t>Pedaggi — casello</t>
        </is>
      </c>
      <c r="B20" s="47" t="n"/>
      <c r="C20" s="48" t="n">
        <v>6</v>
      </c>
      <c r="D20" s="37" t="inlineStr">
        <is>
          <t>€/auto/trasferta</t>
        </is>
      </c>
      <c r="E20" s="6" t="inlineStr">
        <is>
          <t xml:space="preserve"> </t>
        </is>
      </c>
    </row>
    <row r="21" ht="26" customHeight="1">
      <c r="A21" s="7" t="inlineStr">
        <is>
          <t>Vitto</t>
        </is>
      </c>
      <c r="B21" s="47" t="n"/>
      <c r="C21" s="48" t="n">
        <v>20</v>
      </c>
      <c r="D21" s="37" t="inlineStr">
        <is>
          <t>€/persona/trasferta</t>
        </is>
      </c>
      <c r="E21" s="6" t="inlineStr">
        <is>
          <t xml:space="preserve"> </t>
        </is>
      </c>
    </row>
    <row r="22" ht="26" customHeight="1">
      <c r="A22" s="7" t="inlineStr">
        <is>
          <t>Persone per auto</t>
        </is>
      </c>
      <c r="B22" s="47" t="n"/>
      <c r="C22" s="8" t="n">
        <v>3</v>
      </c>
      <c r="D22" s="37" t="inlineStr">
        <is>
          <t>n.</t>
        </is>
      </c>
      <c r="E22" s="6" t="inlineStr">
        <is>
          <t>Quante persone viaggiano insieme: determina il numero di viaggi auto.</t>
        </is>
      </c>
    </row>
  </sheetData>
  <mergeCells count="5">
    <mergeCell ref="A12:E12"/>
    <mergeCell ref="A2:E2"/>
    <mergeCell ref="A1:E1"/>
    <mergeCell ref="A5:E5"/>
    <mergeCell ref="A17:E17"/>
  </mergeCell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34" customWidth="1" min="4" max="4"/>
    <col width="52" customWidth="1" min="5" max="5"/>
  </cols>
  <sheetData>
    <row r="1" ht="26" customHeight="1">
      <c r="A1" s="1" t="inlineStr">
        <is>
          <t>›  TEAM DI PROGETTO — RUOLI E NOMI</t>
        </is>
      </c>
      <c r="B1" s="2" t="n"/>
      <c r="C1" s="2" t="n"/>
      <c r="D1" s="2" t="n"/>
      <c r="E1" s="2" t="n"/>
    </row>
    <row r="2">
      <c r="A2" s="3" t="inlineStr">
        <is>
          <t>Ruolo</t>
        </is>
      </c>
      <c r="B2" s="4" t="inlineStr">
        <is>
          <t>Nome</t>
        </is>
      </c>
      <c r="C2" s="3" t="inlineStr">
        <is>
          <t>Seniority</t>
        </is>
      </c>
      <c r="D2" s="3" t="inlineStr">
        <is>
          <t>Presidio</t>
        </is>
      </c>
      <c r="E2" s="3" t="inlineStr">
        <is>
          <t>Note</t>
        </is>
      </c>
    </row>
    <row r="3" ht="32" customHeight="1">
      <c r="A3" s="7" t="inlineStr">
        <is>
          <t>Commerciale</t>
        </is>
      </c>
      <c r="B3" s="49" t="inlineStr">
        <is>
          <t>Carlo Alberto Campione</t>
        </is>
      </c>
      <c r="C3" s="37" t="inlineStr">
        <is>
          <t>Senior</t>
        </is>
      </c>
      <c r="D3" s="6" t="inlineStr">
        <is>
          <t>Fase 1 — convocazione del kick-off</t>
        </is>
      </c>
      <c r="E3" s="6" t="inlineStr">
        <is>
          <t>Nell'Offerta è il Sales Manager, responsabile dell'Offerta.</t>
        </is>
      </c>
    </row>
    <row r="4" ht="32" customHeight="1">
      <c r="A4" s="7" t="inlineStr">
        <is>
          <t>Project Manager</t>
        </is>
      </c>
      <c r="B4" s="49" t="n"/>
      <c r="C4" s="37" t="inlineStr">
        <is>
          <t>Senior</t>
        </is>
      </c>
      <c r="D4" s="6" t="inlineStr">
        <is>
          <t>Fasi 1 → 11 — presidio di progetto</t>
        </is>
      </c>
      <c r="E4" s="6" t="inlineStr">
        <is>
          <t>Referente unico verso il Cliente (Offerta § 7). Owner del piano di lavoro.</t>
        </is>
      </c>
    </row>
    <row r="5" ht="32" customHeight="1">
      <c r="A5" s="7" t="inlineStr">
        <is>
          <t>RevOps Consultant Senior</t>
        </is>
      </c>
      <c r="B5" s="49" t="inlineStr">
        <is>
          <t>Alessandro Bruti</t>
        </is>
      </c>
      <c r="C5" s="37" t="inlineStr">
        <is>
          <t>Senior</t>
        </is>
      </c>
      <c r="D5" s="6" t="inlineStr">
        <is>
          <t>Tutte le sessioni con il cliente</t>
        </is>
      </c>
      <c r="E5" s="6" t="inlineStr">
        <is>
          <t>Conduce i workshop. È il RevOps Consultant senior dell'Offerta.</t>
        </is>
      </c>
    </row>
    <row r="6" ht="32" customHeight="1">
      <c r="A6" s="7" t="inlineStr">
        <is>
          <t>RevOps Consultant junior 1</t>
        </is>
      </c>
      <c r="B6" s="49" t="n"/>
      <c r="C6" s="37" t="inlineStr">
        <is>
          <t>Junior</t>
        </is>
      </c>
      <c r="D6" s="6" t="inlineStr">
        <is>
          <t>Sessioni con il cliente + back office</t>
        </is>
      </c>
      <c r="E6" s="6" t="inlineStr">
        <is>
          <t>Nell'Offerta le figure specialistiche sono CX Strategist, Process Analyst e Integration Expert.</t>
        </is>
      </c>
    </row>
    <row r="7" ht="32" customHeight="1">
      <c r="A7" s="7" t="inlineStr">
        <is>
          <t>RevOps Consultant junior 2</t>
        </is>
      </c>
      <c r="B7" s="49" t="n"/>
      <c r="C7" s="37" t="inlineStr">
        <is>
          <t>Junior</t>
        </is>
      </c>
      <c r="D7" s="6" t="inlineStr">
        <is>
          <t>Sessioni con il cliente + back office</t>
        </is>
      </c>
      <c r="E7" s="6" t="inlineStr">
        <is>
          <t>Conduce le 5 interviste one-to-one della fase 5.</t>
        </is>
      </c>
    </row>
    <row r="9">
      <c r="A9" s="31" t="inlineStr">
        <is>
          <t>Lato Laica S.p.A. (Offerta § 6 e § 9)</t>
        </is>
      </c>
    </row>
    <row r="10" ht="30" customHeight="1">
      <c r="A10" s="50" t="inlineStr">
        <is>
          <t>Riccardo Dolcetta — Managing Director · Nicolò Zanuso — CFO · più, a seconda della sessione: CMO / Marketing Manager, CSO, referente servizio clienti, referenti IT e gestione dati, key user operativi.</t>
        </is>
      </c>
    </row>
  </sheetData>
  <mergeCells count="2">
    <mergeCell ref="A1:E1"/>
    <mergeCell ref="A10:E10"/>
  </mergeCells>
  <pageMargins left="0.75" right="0.75" top="1" bottom="1" header="0.5" footer="0.5"/>
  <pageSetup orientation="portrait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2026-09-11T11:23:58Z</dcterms:created>
  <dcterms:modified xmlns:dcterms="http://purl.org/dc/terms/" xmlns:xsi="http://www.w3.org/2001/XMLSchema-instance" xsi:type="dcterms:W3CDTF">2026-09-11T11:23:58Z</dcterms:modified>
</cp:coreProperties>
</file>